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c1fde7722645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果解读" sheetId="1" r:id="Rd3ee8e45c1474ab5"/>
    <x:sheet xmlns:r="http://schemas.openxmlformats.org/officeDocument/2006/relationships" name="参数明细" sheetId="2" r:id="Re40d97d5d12c48b2"/>
    <x:sheet xmlns:r="http://schemas.openxmlformats.org/officeDocument/2006/relationships" name="指标说明" sheetId="3" r:id="R931823b5dce94e7a"/>
    <x:sheet xmlns:r="http://schemas.openxmlformats.org/officeDocument/2006/relationships" name="样本外验证" sheetId="4" r:id="Rd5c93ee9f0be4818"/>
    <x:sheet xmlns:r="http://schemas.openxmlformats.org/officeDocument/2006/relationships" name="失效归因" sheetId="5" r:id="Rc937eab1fce148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%"/>
    <x:numFmt numFmtId="201" formatCode="0.00"/>
    <x:numFmt numFmtId="202" formatCode="0.0%"/>
    <x:numFmt numFmtId="203" formatCode="#,##0"/>
    <x:numFmt numFmtId="204" formatCode="#,##0;[Red](#,##0);-"/>
    <x:numFmt numFmtId="205" formatCode="#,##0.00;[Red](#,##0.00);-"/>
  </x:numFmts>
  <x:fonts count="12">
    <x:font>
      <x:sz val="11"/>
      <x:name val="Carlito"/>
    </x:font>
    <x:font>
      <x:b/>
      <x:sz val="15"/>
      <x:color rgb="FFFFFFFF"/>
      <x:name val="Arial"/>
    </x:font>
    <x:font>
      <x:i/>
      <x:sz val="10"/>
      <x:color rgb="FF404040"/>
      <x:name val="Arial"/>
    </x:font>
    <x:font>
      <x:b/>
      <x:sz val="11"/>
      <x:color rgb="FFFFFFFF"/>
      <x:name val="Arial"/>
    </x:font>
    <x:font>
      <x:b/>
      <x:sz val="11"/>
      <x:color rgb="FF7F6000"/>
      <x:name val="Arial"/>
    </x:font>
    <x:font>
      <x:sz val="10"/>
      <x:name val="Arial"/>
    </x:font>
    <x:font>
      <x:i/>
      <x:sz val="11"/>
      <x:color rgb="FF404040"/>
      <x:name val="Arial"/>
    </x:font>
    <x:font>
      <x:sz val="9"/>
      <x:name val="Arial"/>
    </x:font>
    <x:font>
      <x:b/>
      <x:sz val="9"/>
      <x:color rgb="FFFFFFFF"/>
      <x:name val="Arial"/>
    </x:font>
    <x:font>
      <x:b/>
      <x:sz val="14"/>
      <x:color rgb="FFFFFFFF"/>
      <x:name val="Arial"/>
    </x:font>
    <x:font>
      <x:i/>
      <x:sz val="9"/>
      <x:color rgb="FF666666"/>
      <x:name val="Arial"/>
    </x:font>
    <x:font>
      <x:b/>
      <x:sz val="11"/>
      <x:color rgb="FF9C0006"/>
      <x:name val="Arial"/>
    </x:font>
  </x:fonts>
  <x:fills count="2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3F6F9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/>
    <x:xf numFmtId="200" fontId="5" fillId="6" borderId="0" xfId="0" applyNumberFormat="1" applyFont="1" applyFill="1" applyBorder="1"/>
    <x:xf numFmtId="201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/>
    <x:xf numFmtId="200" fontId="5" fillId="7" borderId="0" xfId="0" applyNumberFormat="1" applyFont="1" applyFill="1" applyBorder="1"/>
    <x:xf numFmtId="201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vertical="center"/>
    </x:xf>
    <x:xf numFmtId="200" fontId="5" fillId="7" borderId="0" xfId="0" applyNumberFormat="1" applyFont="1" applyFill="1" applyBorder="1" applyAlignment="1">
      <x:alignment vertical="center"/>
    </x:xf>
    <x:xf numFmtId="201" fontId="5" fillId="7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/>
    </x:xf>
    <x:xf numFmtId="200" fontId="5" fillId="6" borderId="0" xfId="0" applyNumberFormat="1" applyFont="1" applyFill="1" applyBorder="1" applyAlignment="1">
      <x:alignment vertical="center"/>
    </x:xf>
    <x:xf numFmtId="201" fontId="5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 wrapText="1"/>
    </x:xf>
    <x:xf numFmtId="0" fontId="6" fillId="8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200" fontId="7" fillId="0" borderId="0" xfId="0" applyNumberFormat="1" applyFont="1" applyFill="1" applyBorder="1"/>
    <x:xf numFmtId="201" fontId="7" fillId="0" borderId="0" xfId="0" applyNumberFormat="1" applyFont="1" applyFill="1" applyBorder="1"/>
    <x:xf numFmtId="203" fontId="7" fillId="0" borderId="0" xfId="0" applyNumberFormat="1" applyFont="1" applyFill="1" applyBorder="1"/>
    <x:xf numFmtId="0" fontId="9" fillId="2" borderId="0" xfId="0" applyNumberFormat="1" applyFont="1" applyFill="1" applyBorder="1"/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0" fillId="12" borderId="0" xfId="0" applyNumberFormat="1" applyFont="1" applyFill="1" applyBorder="1"/>
    <x:xf numFmtId="0" fontId="11" fillId="12" borderId="0" xfId="0" applyNumberFormat="1" applyFont="1" applyFill="1" applyBorder="1"/>
    <x:xf numFmtId="0" fontId="11" fillId="12" borderId="0" xfId="0" applyNumberFormat="1" applyFont="1" applyFill="1" applyBorder="1" applyAlignment="1">
      <x:alignment wrapText="1"/>
    </x:xf>
    <x:xf numFmtId="0" fontId="11" fillId="12" borderId="0" xfId="0" applyNumberFormat="1" applyFont="1" applyFill="1" applyBorder="1" applyAlignment="1">
      <x:alignment vertical="center" wrapText="1"/>
    </x:xf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5" fillId="12" borderId="0" xfId="0" applyNumberFormat="1" applyFont="1" applyFill="1" applyBorder="1"/>
    <x:xf numFmtId="200" fontId="5" fillId="12" borderId="0" xfId="0" applyNumberFormat="1" applyFont="1" applyFill="1" applyBorder="1"/>
    <x:xf numFmtId="201" fontId="5" fillId="12" borderId="0" xfId="0" applyNumberFormat="1" applyFont="1" applyFill="1" applyBorder="1"/>
    <x:xf numFmtId="0" fontId="5" fillId="12" borderId="0" xfId="0" applyNumberFormat="1" applyFont="1" applyFill="1" applyBorder="1" applyAlignment="1">
      <x:alignment wrapText="1"/>
    </x:xf>
    <x:xf numFmtId="0" fontId="5" fillId="13" borderId="0" xfId="0" applyNumberFormat="1" applyFont="1" applyFill="1" applyBorder="1"/>
    <x:xf numFmtId="200" fontId="5" fillId="13" borderId="0" xfId="0" applyNumberFormat="1" applyFont="1" applyFill="1" applyBorder="1"/>
    <x:xf numFmtId="201" fontId="5" fillId="13" borderId="0" xfId="0" applyNumberFormat="1" applyFont="1" applyFill="1" applyBorder="1"/>
    <x:xf numFmtId="0" fontId="5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4" fillId="14" borderId="0" xfId="0" applyNumberFormat="1" applyFont="1" applyFill="1" applyBorder="1"/>
    <x:xf numFmtId="0" fontId="4" fillId="14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vertical="center"/>
    </x:xf>
    <x:xf numFmtId="0" fontId="2" fillId="10" borderId="0" xfId="0" applyNumberFormat="1" applyFont="1" applyFill="1" applyBorder="1" applyAlignment="1">
      <x:alignment vertical="center"/>
    </x:xf>
    <x:xf numFmtId="0" fontId="3" fillId="11" borderId="0" xfId="0" applyNumberFormat="1" applyFont="1" applyFill="1" applyBorder="1" applyAlignment="1">
      <x:alignment vertical="center"/>
    </x:xf>
    <x:xf numFmtId="0" fontId="3" fillId="9" borderId="0" xfId="0" applyNumberFormat="1" applyFont="1" applyFill="1" applyBorder="1" applyAlignment="1">
      <x:alignment vertical="center" wrapText="1"/>
    </x:xf>
    <x:xf numFmtId="0" fontId="5" fillId="12" borderId="0" xfId="0" applyNumberFormat="1" applyFont="1" applyFill="1" applyBorder="1" applyAlignment="1">
      <x:alignment vertical="center"/>
    </x:xf>
    <x:xf numFmtId="200" fontId="5" fillId="12" borderId="0" xfId="0" applyNumberFormat="1" applyFont="1" applyFill="1" applyBorder="1" applyAlignment="1">
      <x:alignment vertical="center"/>
    </x:xf>
    <x:xf numFmtId="201" fontId="5" fillId="12" borderId="0" xfId="0" applyNumberFormat="1" applyFont="1" applyFill="1" applyBorder="1" applyAlignment="1">
      <x:alignment vertical="center"/>
    </x:xf>
    <x:xf numFmtId="0" fontId="5" fillId="12" borderId="0" xfId="0" applyNumberFormat="1" applyFont="1" applyFill="1" applyBorder="1" applyAlignment="1">
      <x:alignment vertical="center" wrapText="1"/>
    </x:xf>
    <x:xf numFmtId="0" fontId="5" fillId="13" borderId="0" xfId="0" applyNumberFormat="1" applyFont="1" applyFill="1" applyBorder="1" applyAlignment="1">
      <x:alignment vertical="center"/>
    </x:xf>
    <x:xf numFmtId="200" fontId="5" fillId="13" borderId="0" xfId="0" applyNumberFormat="1" applyFont="1" applyFill="1" applyBorder="1" applyAlignment="1">
      <x:alignment vertical="center"/>
    </x:xf>
    <x:xf numFmtId="201" fontId="5" fillId="13" borderId="0" xfId="0" applyNumberFormat="1" applyFont="1" applyFill="1" applyBorder="1" applyAlignment="1">
      <x:alignment vertical="center"/>
    </x:xf>
    <x:xf numFmtId="0" fontId="5" fillId="13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0" fontId="4" fillId="14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0" fillId="16" borderId="0" xfId="0" applyNumberFormat="1" applyFont="1" applyFill="1" applyBorder="1"/>
    <x:xf numFmtId="0" fontId="2" fillId="16" borderId="0" xfId="0" applyNumberFormat="1" applyFont="1" applyFill="1" applyBorder="1"/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0" fillId="18" borderId="0" xfId="0" applyNumberFormat="1" applyFont="1" applyFill="1" applyBorder="1"/>
    <x:xf numFmtId="0" fontId="11" fillId="18" borderId="0" xfId="0" applyNumberFormat="1" applyFont="1" applyFill="1" applyBorder="1"/>
    <x:xf numFmtId="0" fontId="11" fillId="18" borderId="0" xfId="0" applyNumberFormat="1" applyFont="1" applyFill="1" applyBorder="1" applyAlignment="1">
      <x:alignment wrapText="1"/>
    </x:xf>
    <x:xf numFmtId="0" fontId="11" fillId="18" borderId="0" xfId="0" applyNumberFormat="1" applyFont="1" applyFill="1" applyBorder="1" applyAlignment="1">
      <x:alignment vertical="center" wrapText="1"/>
    </x:xf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18" borderId="0" xfId="0" applyNumberFormat="1" applyFont="1" applyFill="1" applyBorder="1"/>
    <x:xf numFmtId="200" fontId="5" fillId="18" borderId="0" xfId="0" applyNumberFormat="1" applyFont="1" applyFill="1" applyBorder="1"/>
    <x:xf numFmtId="203" fontId="0" fillId="0" borderId="0" xfId="0" applyNumberFormat="1" applyFont="1" applyFill="1" applyBorder="1"/>
    <x:xf numFmtId="203" fontId="5" fillId="0" borderId="0" xfId="0" applyNumberFormat="1" applyFont="1" applyFill="1" applyBorder="1"/>
    <x:xf numFmtId="205" fontId="0" fillId="0" borderId="0" xfId="0" applyNumberFormat="1" applyFont="1" applyFill="1" applyBorder="1"/>
    <x:xf numFmtId="205" fontId="5" fillId="0" borderId="0" xfId="0" applyNumberFormat="1" applyFont="1" applyFill="1" applyBorder="1"/>
    <x:xf numFmtId="0" fontId="5" fillId="19" borderId="0" xfId="0" applyNumberFormat="1" applyFont="1" applyFill="1" applyBorder="1"/>
    <x:xf numFmtId="205" fontId="5" fillId="19" borderId="0" xfId="0" applyNumberFormat="1" applyFont="1" applyFill="1" applyBorder="1"/>
    <x:xf numFmtId="0" fontId="0" fillId="20" borderId="0" xfId="0" applyNumberFormat="1" applyFont="1" applyFill="1" applyBorder="1"/>
    <x:xf numFmtId="0" fontId="4" fillId="20" borderId="0" xfId="0" applyNumberFormat="1" applyFont="1" applyFill="1" applyBorder="1"/>
    <x:xf numFmtId="0" fontId="4" fillId="20" borderId="0" xfId="0" applyNumberFormat="1" applyFont="1" applyFill="1" applyBorder="1" applyAlignment="1">
      <x:alignment wrapText="1"/>
    </x:xf>
    <x:xf numFmtId="0" fontId="1" fillId="15" borderId="0" xfId="0" applyNumberFormat="1" applyFont="1" applyFill="1" applyBorder="1" applyAlignment="1">
      <x:alignment vertical="center"/>
    </x:xf>
    <x:xf numFmtId="0" fontId="2" fillId="16" borderId="0" xfId="0" applyNumberFormat="1" applyFont="1" applyFill="1" applyBorder="1" applyAlignment="1">
      <x:alignment vertical="center"/>
    </x:xf>
    <x:xf numFmtId="0" fontId="3" fillId="17" borderId="0" xfId="0" applyNumberFormat="1" applyFont="1" applyFill="1" applyBorder="1" applyAlignment="1">
      <x:alignment vertical="center"/>
    </x:xf>
    <x:xf numFmtId="0" fontId="3" fillId="15" borderId="0" xfId="0" applyNumberFormat="1" applyFont="1" applyFill="1" applyBorder="1" applyAlignment="1">
      <x:alignment vertical="center"/>
    </x:xf>
    <x:xf numFmtId="0" fontId="3" fillId="15" borderId="0" xfId="0" applyNumberFormat="1" applyFont="1" applyFill="1" applyBorder="1" applyAlignment="1">
      <x:alignment vertical="center" wrapText="1"/>
    </x:xf>
    <x:xf numFmtId="204" fontId="5" fillId="0" borderId="0" xfId="0" applyNumberFormat="1" applyFont="1" applyFill="1" applyBorder="1" applyAlignment="1">
      <x:alignment vertical="center"/>
    </x:xf>
    <x:xf numFmtId="0" fontId="5" fillId="18" borderId="0" xfId="0" applyNumberFormat="1" applyFont="1" applyFill="1" applyBorder="1" applyAlignment="1">
      <x:alignment vertical="center"/>
    </x:xf>
    <x:xf numFmtId="200" fontId="5" fillId="18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205" fontId="5" fillId="0" borderId="0" xfId="0" applyNumberFormat="1" applyFont="1" applyFill="1" applyBorder="1" applyAlignment="1">
      <x:alignment vertical="center"/>
    </x:xf>
    <x:xf numFmtId="0" fontId="5" fillId="19" borderId="0" xfId="0" applyNumberFormat="1" applyFont="1" applyFill="1" applyBorder="1" applyAlignment="1">
      <x:alignment vertical="center"/>
    </x:xf>
    <x:xf numFmtId="205" fontId="5" fillId="19" borderId="0" xfId="0" applyNumberFormat="1" applyFont="1" applyFill="1" applyBorder="1" applyAlignment="1">
      <x:alignment vertical="center"/>
    </x:xf>
    <x:xf numFmtId="0" fontId="4" fillId="2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5a06289e33435f" /><Relationship Type="http://schemas.openxmlformats.org/officeDocument/2006/relationships/theme" Target="/xl/theme/theme1.xml" Id="R9241d8c8110442fd" /><Relationship Type="http://schemas.microsoft.com/office/2022/11/relationships/FeaturePropertyBag" Target="/xl/featurePropertyBag/featurePropertyBag.xml" Id="Rba5e0f4dcf6844e8" /><Relationship Type="http://schemas.openxmlformats.org/officeDocument/2006/relationships/sharedStrings" Target="/xl/sharedStrings.xml" Id="Rbe5466ece0c24763" /><Relationship Type="http://schemas.openxmlformats.org/officeDocument/2006/relationships/worksheet" Target="/xl/worksheets/sheet1.xml" Id="Rd3ee8e45c1474ab5" /><Relationship Type="http://schemas.openxmlformats.org/officeDocument/2006/relationships/worksheet" Target="/xl/worksheets/sheet2.xml" Id="Re40d97d5d12c48b2" /><Relationship Type="http://schemas.openxmlformats.org/officeDocument/2006/relationships/worksheet" Target="/xl/worksheets/sheet3.xml" Id="R931823b5dce94e7a" /><Relationship Type="http://schemas.openxmlformats.org/officeDocument/2006/relationships/worksheet" Target="/xl/worksheets/sheet4.xml" Id="Rd5c93ee9f0be4818" /><Relationship Type="http://schemas.openxmlformats.org/officeDocument/2006/relationships/worksheet" Target="/xl/worksheets/sheet5.xml" Id="Rc937eab1fce148c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cb951b1934542f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14318cf2d6694d85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8bef6837d2d3477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年化收益比较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年化收益</c:v>
          </c:tx>
          <c:spPr>
            <a:solidFill xmlns:a="http://schemas.openxmlformats.org/drawingml/2006/main">
              <a:srgbClr val="5B9BD5"/>
            </a:solidFill>
          </c:spPr>
          <c:cat>
            <c:strRef>
              <c:f>'结果解读'!$H$9:$H$12</c:f>
              <c:strCache>
                <c:ptCount val="0"/>
              </c:strCache>
            </c:strRef>
          </c:cat>
          <c:val>
            <c:numRef>
              <c:f>'结果解读'!$I$9:$I$12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研究期与验证期年化收益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研究期年化</c:v>
          </c:tx>
          <c:spPr>
            <a:solidFill xmlns:a="http://schemas.openxmlformats.org/drawingml/2006/main">
              <a:srgbClr val="5B9BD5"/>
            </a:solidFill>
          </c:spPr>
          <c:cat>
            <c:strRef>
              <c:f>'样本外验证'!$A$9:$A$13</c:f>
              <c:strCache>
                <c:ptCount val="0"/>
              </c:strCache>
            </c:strRef>
          </c:cat>
          <c:val>
            <c:numRef>
              <c:f>'样本外验证'!$B$9:$B$13</c:f>
              <c:numCache>
                <c:formatCode>0.00%</c:formatCode>
                <c:ptCount val="0"/>
              </c:numCache>
            </c:numRef>
          </c:val>
        </c:ser>
        <c:ser>
          <c:idx val="1"/>
          <c:order val="1"/>
          <c:tx>
            <c:v>验证期年化</c:v>
          </c:tx>
          <c:spPr>
            <a:solidFill xmlns:a="http://schemas.openxmlformats.org/drawingml/2006/main">
              <a:srgbClr val="ED7D31"/>
            </a:solidFill>
          </c:spPr>
          <c:cat>
            <c:strRef>
              <c:f>'样本外验证'!$A$9:$A$13</c:f>
              <c:strCache>
                <c:ptCount val="0"/>
              </c:strCache>
            </c:strRef>
          </c:cat>
          <c:val>
            <c:numRef>
              <c:f>'样本外验证'!$C$9:$C$13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验证期分年度收益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选中动量</c:v>
          </c:tx>
          <c:spPr>
            <a:solidFill xmlns:a="http://schemas.openxmlformats.org/drawingml/2006/main">
              <a:srgbClr val="C44E52"/>
            </a:solidFill>
          </c:spPr>
          <c:cat>
            <c:strRef>
              <c:f>'失效归因'!$A$9:$A$11</c:f>
              <c:strCache>
                <c:ptCount val="0"/>
              </c:strCache>
            </c:strRef>
          </c:cat>
          <c:val>
            <c:numRef>
              <c:f>'失效归因'!$B$9:$B$11</c:f>
              <c:numCache>
                <c:formatCode>0.00%</c:formatCode>
                <c:ptCount val="0"/>
              </c:numCache>
            </c:numRef>
          </c:val>
        </c:ser>
        <c:ser>
          <c:idx val="1"/>
          <c:order val="1"/>
          <c:tx>
            <c:v>7 ETF 等权</c:v>
          </c:tx>
          <c:spPr>
            <a:solidFill xmlns:a="http://schemas.openxmlformats.org/drawingml/2006/main">
              <a:srgbClr val="55A868"/>
            </a:solidFill>
          </c:spPr>
          <c:cat>
            <c:strRef>
              <c:f>'失效归因'!$A$9:$A$11</c:f>
              <c:strCache>
                <c:ptCount val="0"/>
              </c:strCache>
            </c:strRef>
          </c:cat>
          <c:val>
            <c:numRef>
              <c:f>'失效归因'!$C$9:$C$11</c:f>
              <c:numCache>
                <c:formatCode>0.00%</c:formatCode>
                <c:ptCount val="0"/>
              </c:numCache>
            </c:numRef>
          </c:val>
        </c:ser>
        <c:ser>
          <c:idx val="2"/>
          <c:order val="2"/>
          <c:tx>
            <c:v>沪深300</c:v>
          </c:tx>
          <c:spPr>
            <a:solidFill xmlns:a="http://schemas.openxmlformats.org/drawingml/2006/main">
              <a:srgbClr val="4C72B0"/>
            </a:solidFill>
          </c:spPr>
          <c:cat>
            <c:strRef>
              <c:f>'失效归因'!$A$9:$A$11</c:f>
              <c:strCache>
                <c:ptCount val="0"/>
              </c:strCache>
            </c:strRef>
          </c:cat>
          <c:val>
            <c:numRef>
              <c:f>'失效归因'!$D$9:$D$11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b951b1934542f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0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318cf2d6694d8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6</xdr:col>
      <xdr:colOff>0</xdr:colOff>
      <xdr:row>6</xdr:row>
      <xdr:rowOff>0</xdr:rowOff>
    </xdr:from>
    <xdr:to>
      <xdr:col>14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ef6837d2d34778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ensitivityTable" displayName="SensitivityTable" ref="A1:P75" headerRowCount="1" totalsRowCount="0" totalsRowShown="0">
  <x:tableColumns count="16">
    <x:tableColumn id="1" name="case_type"/>
    <x:tableColumn id="2" name="window"/>
    <x:tableColumn id="3" name="top_n"/>
    <x:tableColumn id="4" name="cost_bps"/>
    <x:tableColumn id="5" name="cash_rule"/>
    <x:tableColumn id="6" name="total_return"/>
    <x:tableColumn id="7" name="annual_return"/>
    <x:tableColumn id="8" name="annual_volatility"/>
    <x:tableColumn id="9" name="sharpe_ratio_rf0"/>
    <x:tableColumn id="10" name="return_vol_ratio"/>
    <x:tableColumn id="11" name="max_drawdown"/>
    <x:tableColumn id="12" name="daily_win_rate"/>
    <x:tableColumn id="13" name="trade_count"/>
    <x:tableColumn id="14" name="rebalance_count"/>
    <x:tableColumn id="15" name="total_fees"/>
    <x:tableColumn id="16" name="total_turnov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5b39ad4eb994e0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1cb9b79dc6d47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81d8ca3566c74e4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c3d7ea75e6a248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42" hidden="0" customWidth="1"/>
  </x:cols>
  <x:sheetData>
    <x:row r="1" ht="30" customHeight="1">
      <x:c r="A1" s="3" t="str">
        <x:v>ETF 动量参数敏感性分析</x:v>
      </x:c>
      <x:c r="B1" s="3"/>
      <x:c r="C1" s="3"/>
      <x:c r="D1" s="3"/>
      <x:c r="E1" s="3"/>
      <x:c r="F1" s="3"/>
      <x:c r="G1" s="32"/>
      <x:c r="H1" s="32"/>
      <x:c r="I1" s="32"/>
      <x:c r="J1" s="32"/>
      <x:c r="K1" s="32"/>
      <x:c r="L1" s="32"/>
      <x:c r="M1" s="32"/>
      <x:c r="N1" s="32"/>
    </x:row>
    <x:row r="2" ht="23" customHeight="1">
      <x:c r="A2" s="33" t="str">
        <x:v>共同样本：2021-08-02 至 2026-09-17｜72 组策略｜同一冻结行情快照</x:v>
      </x:c>
      <x:c r="B2" s="33"/>
      <x:c r="C2" s="33"/>
      <x:c r="D2" s="33"/>
      <x:c r="E2" s="33"/>
      <x:c r="F2" s="33"/>
      <x:c r="G2" s="32"/>
      <x:c r="H2" s="32"/>
      <x:c r="I2" s="32"/>
      <x:c r="J2" s="32"/>
      <x:c r="K2" s="32"/>
      <x:c r="L2" s="32"/>
      <x:c r="M2" s="32"/>
      <x:c r="N2" s="32"/>
    </x:row>
    <x:row r="3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</x:row>
    <x:row r="4">
      <x:c r="A4" s="34" t="str">
        <x:v>先读这句话</x:v>
      </x:c>
      <x:c r="B4" s="34"/>
      <x:c r="C4" s="34"/>
      <x:c r="D4" s="34"/>
      <x:c r="E4" s="34"/>
      <x:c r="F4" s="34"/>
      <x:c r="G4" s="32"/>
      <x:c r="H4" s="32"/>
      <x:c r="I4" s="32"/>
      <x:c r="J4" s="32"/>
      <x:c r="K4" s="32"/>
      <x:c r="L4" s="32"/>
      <x:c r="M4" s="32"/>
      <x:c r="N4" s="32"/>
    </x:row>
    <x:row r="5" ht="35" customHeight="1">
      <x:c r="A5" s="11" t="str">
        <x:v>基础组合亏损 24.54%。完整参数实验中有 32/72 行取得正年化收益，但现金规则没有触发，因此相当于 16/36 个非重复配置；0 组超过等权持有基准。说明结果对观察窗口敏感，目前没有证据证明动量排序优于简单分散持有。</x:v>
      </x:c>
      <x:c r="B5" s="11"/>
      <x:c r="C5" s="11"/>
      <x:c r="D5" s="11"/>
      <x:c r="E5" s="11"/>
      <x:c r="F5" s="11"/>
      <x:c r="G5" s="32"/>
      <x:c r="H5" s="32"/>
      <x:c r="I5" s="32"/>
      <x:c r="J5" s="32"/>
      <x:c r="K5" s="32"/>
      <x:c r="L5" s="32"/>
      <x:c r="M5" s="32"/>
      <x:c r="N5" s="32"/>
    </x:row>
    <x:row r="6" ht="35" customHeight="1">
      <x:c r="A6" s="11"/>
      <x:c r="B6" s="11"/>
      <x:c r="C6" s="11"/>
      <x:c r="D6" s="11"/>
      <x:c r="E6" s="11"/>
      <x:c r="F6" s="11"/>
      <x:c r="G6" s="32"/>
      <x:c r="H6" s="32"/>
      <x:c r="I6" s="32"/>
      <x:c r="J6" s="32"/>
      <x:c r="K6" s="32"/>
      <x:c r="L6" s="32"/>
      <x:c r="M6" s="32"/>
      <x:c r="N6" s="32"/>
    </x:row>
    <x:row r="7">
      <x:c r="A7" s="32"/>
      <x:c r="B7" s="32"/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</x:row>
    <x:row r="8">
      <x:c r="A8" s="13" t="str">
        <x:v>方案</x:v>
      </x:c>
      <x:c r="B8" s="13" t="str">
        <x:v>累计收益</x:v>
      </x:c>
      <x:c r="C8" s="13" t="str">
        <x:v>年化收益</x:v>
      </x:c>
      <x:c r="D8" s="13" t="str">
        <x:v>夏普</x:v>
      </x:c>
      <x:c r="E8" s="13" t="str">
        <x:v>最大回撤</x:v>
      </x:c>
      <x:c r="F8" s="13" t="str">
        <x:v>怎么理解</x:v>
      </x:c>
      <x:c r="G8" s="32"/>
      <x:c r="H8" s="32" t="str">
        <x:v>方案</x:v>
      </x:c>
      <x:c r="I8" s="32" t="str">
        <x:v>年化收益</x:v>
      </x:c>
      <x:c r="J8" s="32"/>
      <x:c r="K8" s="32"/>
      <x:c r="L8" s="32"/>
      <x:c r="M8" s="32"/>
      <x:c r="N8" s="32"/>
    </x:row>
    <x:row r="9">
      <x:c r="A9" s="35" t="str">
        <x:v>基础动量</x:v>
      </x:c>
      <x:c r="B9" s="36" t="n">
        <x:v>-0.24541177991764596</x:v>
      </x:c>
      <x:c r="C9" s="36" t="n">
        <x:v>-0.05540133038151962</x:v>
      </x:c>
      <x:c r="D9" s="37" t="n">
        <x:v>-0.176090570339236</x:v>
      </x:c>
      <x:c r="E9" s="36" t="n">
        <x:v>-0.3944201781096506</x:v>
      </x:c>
      <x:c r="F9" s="38" t="str">
        <x:v>当前默认设置，收益与风险都较弱</x:v>
      </x:c>
      <x:c r="G9" s="32"/>
      <x:c r="H9" s="32" t="str">
        <x:v>基础动量</x:v>
      </x:c>
      <x:c r="I9" s="39" t="n">
        <x:v>-0.05540133038151962</x:v>
      </x:c>
      <x:c r="J9" s="32"/>
      <x:c r="K9" s="32"/>
      <x:c r="L9" s="32"/>
      <x:c r="M9" s="32"/>
      <x:c r="N9" s="32"/>
    </x:row>
    <x:row r="10">
      <x:c r="A10" s="40" t="str">
        <x:v>样本内最高夏普</x:v>
      </x:c>
      <x:c r="B10" s="41" t="n">
        <x:v>0.370987426010974</x:v>
      </x:c>
      <x:c r="C10" s="41" t="n">
        <x:v>0.0659501510601086</x:v>
      </x:c>
      <x:c r="D10" s="42" t="n">
        <x:v>0.4208471122818269</x:v>
      </x:c>
      <x:c r="E10" s="41" t="n">
        <x:v>-0.3001579646866521</x:v>
      </x:c>
      <x:c r="F10" s="43" t="str">
        <x:v>20日、Top 2、5 bps；仅用于描述，尚未样本外验证</x:v>
      </x:c>
      <x:c r="G10" s="32"/>
      <x:c r="H10" s="32" t="str">
        <x:v>样本内最高夏普</x:v>
      </x:c>
      <x:c r="I10" s="39" t="n">
        <x:v>0.0659501510601086</x:v>
      </x:c>
      <x:c r="J10" s="32"/>
      <x:c r="K10" s="32"/>
      <x:c r="L10" s="32"/>
      <x:c r="M10" s="32"/>
      <x:c r="N10" s="32"/>
    </x:row>
    <x:row r="11">
      <x:c r="A11" s="44" t="str">
        <x:v>7 ETF 等权持有</x:v>
      </x:c>
      <x:c r="B11" s="45" t="n">
        <x:v>0.5158824358703373</x:v>
      </x:c>
      <x:c r="C11" s="45" t="n">
        <x:v>0.08784856399803398</x:v>
      </x:c>
      <x:c r="D11" s="46" t="n">
        <x:v>0.7394782901381266</x:v>
      </x:c>
      <x:c r="E11" s="45" t="n">
        <x:v>-0.17012577351515779</x:v>
      </x:c>
      <x:c r="F11" s="47" t="str">
        <x:v>本次最强基准，代表分散配置效果</x:v>
      </x:c>
      <x:c r="G11" s="32"/>
      <x:c r="H11" s="32" t="str">
        <x:v>7 ETF 等权持有</x:v>
      </x:c>
      <x:c r="I11" s="39" t="n">
        <x:v>0.08784856399803398</x:v>
      </x:c>
      <x:c r="J11" s="32"/>
      <x:c r="K11" s="32"/>
      <x:c r="L11" s="32"/>
      <x:c r="M11" s="32"/>
      <x:c r="N11" s="32"/>
    </x:row>
    <x:row r="12">
      <x:c r="A12" s="40" t="str">
        <x:v>沪深300持有</x:v>
      </x:c>
      <x:c r="B12" s="41" t="n">
        <x:v>0.020900412989351747</x:v>
      </x:c>
      <x:c r="C12" s="41" t="n">
        <x:v>0.004195619578889032</x:v>
      </x:c>
      <x:c r="D12" s="42" t="n">
        <x:v>0.11666807527735122</x:v>
      </x:c>
      <x:c r="E12" s="41" t="n">
        <x:v>-0.3718083983962872</x:v>
      </x:c>
      <x:c r="F12" s="43" t="str">
        <x:v>A股权益市场参照</x:v>
      </x:c>
      <x:c r="G12" s="32"/>
      <x:c r="H12" s="32" t="str">
        <x:v>沪深300持有</x:v>
      </x:c>
      <x:c r="I12" s="39" t="n">
        <x:v>0.004195619578889032</x:v>
      </x:c>
      <x:c r="J12" s="32"/>
      <x:c r="K12" s="32"/>
      <x:c r="L12" s="32"/>
      <x:c r="M12" s="32"/>
      <x:c r="N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</x:row>
    <x:row r="15">
      <x:c r="A15" s="13" t="str">
        <x:v>完整实验检查</x:v>
      </x:c>
      <x:c r="B15" s="13" t="str">
        <x:v>数值</x:v>
      </x:c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</x:row>
    <x:row r="16">
      <x:c r="A16" s="32" t="str">
        <x:v>策略组合总数</x:v>
      </x:c>
      <x:c r="B16" s="32" t="n">
        <x:f>COUNTIF('参数明细'!A2:A75,"strategy")</x:f>
        <x:v>72</x:v>
      </x:c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</x:row>
    <x:row r="17">
      <x:c r="A17" s="32" t="str">
        <x:v>正年化收益组合数</x:v>
      </x:c>
      <x:c r="B17" s="32" t="n">
        <x:f>COUNTIFS('参数明细'!A2:A75,"strategy",'参数明细'!G2:G75,"&gt;0")</x:f>
        <x:v>32</x:v>
      </x:c>
      <x:c r="C17" s="32"/>
      <x:c r="D17" s="32"/>
      <x:c r="E17" s="32"/>
      <x:c r="F17" s="32"/>
      <x:c r="G17" s="32"/>
      <x:c r="H17" s="32"/>
      <x:c r="I17" s="32"/>
      <x:c r="J17" s="32"/>
      <x:c r="K17" s="32"/>
      <x:c r="L17" s="32"/>
      <x:c r="M17" s="32"/>
      <x:c r="N17" s="32"/>
    </x:row>
    <x:row r="18">
      <x:c r="A18" s="32" t="str">
        <x:v>跑赢等权基准的组合数</x:v>
      </x:c>
      <x:c r="B18" s="32" t="n">
        <x:f>COUNTIFS('参数明细'!A2:A75,"strategy",'参数明细'!G2:G75,"&gt;"&amp;C11)</x:f>
        <x:v>0</x:v>
      </x:c>
      <x:c r="C18" s="32"/>
      <x:c r="D18" s="32"/>
      <x:c r="E18" s="32"/>
      <x:c r="F18" s="32"/>
      <x:c r="G18" s="32"/>
      <x:c r="H18" s="32"/>
      <x:c r="I18" s="32"/>
      <x:c r="J18" s="32"/>
      <x:c r="K18" s="32"/>
      <x:c r="L18" s="32"/>
      <x:c r="M18" s="32"/>
      <x:c r="N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  <x:c r="L19" s="32"/>
      <x:c r="M19" s="32"/>
      <x:c r="N19" s="32"/>
    </x:row>
    <x:row r="20" ht="34" customHeight="1">
      <x:c r="A20" s="48" t="str">
        <x:v>研究结论：样本外参数失效，Top 1 集中持仓造成主要亏损；交易费用不是主要原因。详见“样本外验证”和“失效归因”。</x:v>
      </x:c>
      <x:c r="B20" s="48"/>
      <x:c r="C20" s="48"/>
      <x:c r="D20" s="48"/>
      <x:c r="E20" s="48"/>
      <x:c r="F20" s="48"/>
      <x:c r="G20" s="32"/>
      <x:c r="H20" s="32"/>
      <x:c r="I20" s="32"/>
      <x:c r="J20" s="32"/>
      <x:c r="K20" s="32"/>
      <x:c r="L20" s="32"/>
      <x:c r="M20" s="32"/>
      <x:c r="N20" s="32"/>
    </x:row>
  </x:sheetData>
  <x:mergeCells>
    <x:mergeCell ref="A1:F1"/>
    <x:mergeCell ref="A2:F2"/>
    <x:mergeCell ref="A4:F4"/>
    <x:mergeCell ref="A5:F6"/>
    <x:mergeCell ref="A20:F20"/>
  </x:mergeCells>
  <x:pageMargins left="0.7" right="0.7" top="0.75" bottom="0.75" header="0.3" footer="0.3"/>
  <x:drawing xmlns:r="http://schemas.openxmlformats.org/officeDocument/2006/relationships" r:id="R75b39ad4eb994e0e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7.130000114440918" hidden="0" customWidth="1"/>
    <x:col min="4" max="4" width="9.630000114440918" hidden="0" customWidth="1"/>
    <x:col min="5" max="5" width="10.130000114440918" hidden="0" customWidth="1"/>
    <x:col min="6" max="6" width="11.380000114440918" hidden="0" customWidth="1"/>
    <x:col min="7" max="7" width="13.130000114440918" hidden="0" customWidth="1"/>
    <x:col min="8" max="8" width="14.880000114440918" hidden="0" customWidth="1"/>
    <x:col min="9" max="9" width="14.880000114440918" hidden="0" customWidth="1"/>
    <x:col min="10" max="10" width="14.5" hidden="0" customWidth="1"/>
    <x:col min="11" max="11" width="14.380000114440918" hidden="0" customWidth="1"/>
    <x:col min="12" max="12" width="13.380000114440918" hidden="0" customWidth="1"/>
    <x:col min="13" max="13" width="11.630000114440918" hidden="0" customWidth="1"/>
    <x:col min="14" max="14" width="15" hidden="0" customWidth="1"/>
    <x:col min="15" max="15" width="10.130000114440918" hidden="0" customWidth="1"/>
    <x:col min="16" max="16" width="13.130000114440918" hidden="0" customWidth="1"/>
  </x:cols>
  <x:sheetData>
    <x:row r="1" ht="30" customHeight="1">
      <x:c r="A1" s="54" t="str">
        <x:v>case_type</x:v>
      </x:c>
      <x:c r="B1" s="54" t="str">
        <x:v>window</x:v>
      </x:c>
      <x:c r="C1" s="54" t="str">
        <x:v>top_n</x:v>
      </x:c>
      <x:c r="D1" s="54" t="str">
        <x:v>cost_bps</x:v>
      </x:c>
      <x:c r="E1" s="54" t="str">
        <x:v>cash_rule</x:v>
      </x:c>
      <x:c r="F1" s="54" t="str">
        <x:v>total_return</x:v>
      </x:c>
      <x:c r="G1" s="54" t="str">
        <x:v>annual_return</x:v>
      </x:c>
      <x:c r="H1" s="54" t="str">
        <x:v>annual_volatility</x:v>
      </x:c>
      <x:c r="I1" s="54" t="str">
        <x:v>sharpe_ratio_rf0</x:v>
      </x:c>
      <x:c r="J1" s="54" t="str">
        <x:v>return_vol_ratio</x:v>
      </x:c>
      <x:c r="K1" s="54" t="str">
        <x:v>max_drawdown</x:v>
      </x:c>
      <x:c r="L1" s="54" t="str">
        <x:v>daily_win_rate</x:v>
      </x:c>
      <x:c r="M1" s="54" t="str">
        <x:v>trade_count</x:v>
      </x:c>
      <x:c r="N1" s="54" t="str">
        <x:v>rebalance_count</x:v>
      </x:c>
      <x:c r="O1" s="54" t="str">
        <x:v>total_fees</x:v>
      </x:c>
      <x:c r="P1" s="54" t="str">
        <x:v>total_turnover</x:v>
      </x:c>
    </x:row>
    <x:row r="2">
      <x:c r="A2" s="50" t="str">
        <x:v>strategy</x:v>
      </x:c>
      <x:c r="B2" s="50" t="str">
        <x:v>20</x:v>
      </x:c>
      <x:c r="C2" s="50" t="n">
        <x:v>1</x:v>
      </x:c>
      <x:c r="D2" s="50" t="n">
        <x:v>5</x:v>
      </x:c>
      <x:c r="E2" s="51" t="b">
        <x:v>0</x:v>
      </x:c>
      <x:c r="F2" s="55" t="n">
        <x:v>-0.1188922108079592</x:v>
      </x:c>
      <x:c r="G2" s="55" t="n">
        <x:v>-0.02529465422498578</x:v>
      </x:c>
      <x:c r="H2" s="55" t="n">
        <x:v>0.2539519833757338</x:v>
      </x:c>
      <x:c r="I2" s="56" t="n">
        <x:v>0.027032752390215783</x:v>
      </x:c>
      <x:c r="J2" s="56" t="n">
        <x:v>-0.0996040821920306</x:v>
      </x:c>
      <x:c r="K2" s="55" t="n">
        <x:v>-0.5670102036585368</x:v>
      </x:c>
      <x:c r="L2" s="55" t="n">
        <x:v>0.4923694779116466</x:v>
      </x:c>
      <x:c r="M2" s="50" t="n">
        <x:v>99</x:v>
      </x:c>
      <x:c r="N2" s="50" t="n">
        <x:v>62</x:v>
      </x:c>
      <x:c r="O2" s="57" t="n">
        <x:v>37065.48447356514</x:v>
      </x:c>
      <x:c r="P2" s="56" t="n">
        <x:v>99.1205542328833</x:v>
      </x:c>
    </x:row>
    <x:row r="3">
      <x:c r="A3" s="50" t="str">
        <x:v>strategy</x:v>
      </x:c>
      <x:c r="B3" s="50" t="str">
        <x:v>20</x:v>
      </x:c>
      <x:c r="C3" s="50" t="n">
        <x:v>1</x:v>
      </x:c>
      <x:c r="D3" s="50" t="n">
        <x:v>10</x:v>
      </x:c>
      <x:c r="E3" s="51" t="b">
        <x:v>0</x:v>
      </x:c>
      <x:c r="F3" s="55" t="n">
        <x:v>-0.16144488190669948</x:v>
      </x:c>
      <x:c r="G3" s="55" t="n">
        <x:v>-0.03501166921751553</x:v>
      </x:c>
      <x:c r="H3" s="55" t="n">
        <x:v>0.253887414880459</x:v>
      </x:c>
      <x:c r="I3" s="56" t="n">
        <x:v>-0.012482820934468205</x:v>
      </x:c>
      <x:c r="J3" s="56" t="n">
        <x:v>-0.13790234239850174</x:v>
      </x:c>
      <x:c r="K3" s="55" t="n">
        <x:v>-0.5810656841955241</x:v>
      </x:c>
      <x:c r="L3" s="55" t="n">
        <x:v>0.4891566265060241</x:v>
      </x:c>
      <x:c r="M3" s="50" t="n">
        <x:v>99</x:v>
      </x:c>
      <x:c r="N3" s="50" t="n">
        <x:v>62</x:v>
      </x:c>
      <x:c r="O3" s="57" t="n">
        <x:v>72322.32801901731</x:v>
      </x:c>
      <x:c r="P3" s="56" t="n">
        <x:v>99.0710434665332</x:v>
      </x:c>
    </x:row>
    <x:row r="4">
      <x:c r="A4" s="50" t="str">
        <x:v>strategy</x:v>
      </x:c>
      <x:c r="B4" s="50" t="str">
        <x:v>20</x:v>
      </x:c>
      <x:c r="C4" s="50" t="n">
        <x:v>1</x:v>
      </x:c>
      <x:c r="D4" s="50" t="n">
        <x:v>20</x:v>
      </x:c>
      <x:c r="E4" s="51" t="b">
        <x:v>0</x:v>
      </x:c>
      <x:c r="F4" s="55" t="n">
        <x:v>-0.24048385268340522</x:v>
      </x:c>
      <x:c r="G4" s="55" t="n">
        <x:v>-0.05415594243301036</x:v>
      </x:c>
      <x:c r="H4" s="55" t="n">
        <x:v>0.2538716958890696</x:v>
      </x:c>
      <x:c r="I4" s="56" t="n">
        <x:v>-0.0914150466084968</x:v>
      </x:c>
      <x:c r="J4" s="56" t="n">
        <x:v>-0.2133201270955154</x:v>
      </x:c>
      <x:c r="K4" s="55" t="n">
        <x:v>-0.6078227172600035</x:v>
      </x:c>
      <x:c r="L4" s="55" t="n">
        <x:v>0.485140562248996</x:v>
      </x:c>
      <x:c r="M4" s="50" t="n">
        <x:v>99</x:v>
      </x:c>
      <x:c r="N4" s="50" t="n">
        <x:v>62</x:v>
      </x:c>
      <x:c r="O4" s="57" t="n">
        <x:v>137768.49851394878</x:v>
      </x:c>
      <x:c r="P4" s="56" t="n">
        <x:v>98.9721701696604</x:v>
      </x:c>
    </x:row>
    <x:row r="5">
      <x:c r="A5" s="50" t="str">
        <x:v>strategy</x:v>
      </x:c>
      <x:c r="B5" s="50" t="str">
        <x:v>20</x:v>
      </x:c>
      <x:c r="C5" s="50" t="n">
        <x:v>1</x:v>
      </x:c>
      <x:c r="D5" s="50" t="n">
        <x:v>5</x:v>
      </x:c>
      <x:c r="E5" s="51" t="b">
        <x:v>1</x:v>
      </x:c>
      <x:c r="F5" s="55" t="n">
        <x:v>-0.1188922108079592</x:v>
      </x:c>
      <x:c r="G5" s="55" t="n">
        <x:v>-0.02529465422498578</x:v>
      </x:c>
      <x:c r="H5" s="55" t="n">
        <x:v>0.2539519833757338</x:v>
      </x:c>
      <x:c r="I5" s="56" t="n">
        <x:v>0.027032752390215783</x:v>
      </x:c>
      <x:c r="J5" s="56" t="n">
        <x:v>-0.0996040821920306</x:v>
      </x:c>
      <x:c r="K5" s="55" t="n">
        <x:v>-0.5670102036585368</x:v>
      </x:c>
      <x:c r="L5" s="55" t="n">
        <x:v>0.4923694779116466</x:v>
      </x:c>
      <x:c r="M5" s="50" t="n">
        <x:v>99</x:v>
      </x:c>
      <x:c r="N5" s="50" t="n">
        <x:v>62</x:v>
      </x:c>
      <x:c r="O5" s="57" t="n">
        <x:v>37065.48447356514</x:v>
      </x:c>
      <x:c r="P5" s="56" t="n">
        <x:v>99.1205542328833</x:v>
      </x:c>
    </x:row>
    <x:row r="6">
      <x:c r="A6" s="50" t="str">
        <x:v>strategy</x:v>
      </x:c>
      <x:c r="B6" s="50" t="str">
        <x:v>20</x:v>
      </x:c>
      <x:c r="C6" s="50" t="n">
        <x:v>1</x:v>
      </x:c>
      <x:c r="D6" s="50" t="n">
        <x:v>10</x:v>
      </x:c>
      <x:c r="E6" s="51" t="b">
        <x:v>1</x:v>
      </x:c>
      <x:c r="F6" s="55" t="n">
        <x:v>-0.16144488190669948</x:v>
      </x:c>
      <x:c r="G6" s="55" t="n">
        <x:v>-0.03501166921751553</x:v>
      </x:c>
      <x:c r="H6" s="55" t="n">
        <x:v>0.253887414880459</x:v>
      </x:c>
      <x:c r="I6" s="56" t="n">
        <x:v>-0.012482820934468205</x:v>
      </x:c>
      <x:c r="J6" s="56" t="n">
        <x:v>-0.13790234239850174</x:v>
      </x:c>
      <x:c r="K6" s="55" t="n">
        <x:v>-0.5810656841955241</x:v>
      </x:c>
      <x:c r="L6" s="55" t="n">
        <x:v>0.4891566265060241</x:v>
      </x:c>
      <x:c r="M6" s="50" t="n">
        <x:v>99</x:v>
      </x:c>
      <x:c r="N6" s="50" t="n">
        <x:v>62</x:v>
      </x:c>
      <x:c r="O6" s="57" t="n">
        <x:v>72322.32801901731</x:v>
      </x:c>
      <x:c r="P6" s="56" t="n">
        <x:v>99.0710434665332</x:v>
      </x:c>
    </x:row>
    <x:row r="7">
      <x:c r="A7" s="50" t="str">
        <x:v>strategy</x:v>
      </x:c>
      <x:c r="B7" s="50" t="str">
        <x:v>20</x:v>
      </x:c>
      <x:c r="C7" s="50" t="n">
        <x:v>1</x:v>
      </x:c>
      <x:c r="D7" s="50" t="n">
        <x:v>20</x:v>
      </x:c>
      <x:c r="E7" s="51" t="b">
        <x:v>1</x:v>
      </x:c>
      <x:c r="F7" s="55" t="n">
        <x:v>-0.24048385268340522</x:v>
      </x:c>
      <x:c r="G7" s="55" t="n">
        <x:v>-0.05415594243301036</x:v>
      </x:c>
      <x:c r="H7" s="55" t="n">
        <x:v>0.2538716958890696</x:v>
      </x:c>
      <x:c r="I7" s="56" t="n">
        <x:v>-0.0914150466084968</x:v>
      </x:c>
      <x:c r="J7" s="56" t="n">
        <x:v>-0.2133201270955154</x:v>
      </x:c>
      <x:c r="K7" s="55" t="n">
        <x:v>-0.6078227172600035</x:v>
      </x:c>
      <x:c r="L7" s="55" t="n">
        <x:v>0.485140562248996</x:v>
      </x:c>
      <x:c r="M7" s="50" t="n">
        <x:v>99</x:v>
      </x:c>
      <x:c r="N7" s="50" t="n">
        <x:v>62</x:v>
      </x:c>
      <x:c r="O7" s="57" t="n">
        <x:v>137768.49851394878</x:v>
      </x:c>
      <x:c r="P7" s="56" t="n">
        <x:v>98.9721701696604</x:v>
      </x:c>
    </x:row>
    <x:row r="8">
      <x:c r="A8" s="50" t="str">
        <x:v>strategy</x:v>
      </x:c>
      <x:c r="B8" s="50" t="str">
        <x:v>20</x:v>
      </x:c>
      <x:c r="C8" s="50" t="n">
        <x:v>2</x:v>
      </x:c>
      <x:c r="D8" s="50" t="n">
        <x:v>5</x:v>
      </x:c>
      <x:c r="E8" s="51" t="b">
        <x:v>0</x:v>
      </x:c>
      <x:c r="F8" s="55" t="n">
        <x:v>0.370987426010974</x:v>
      </x:c>
      <x:c r="G8" s="55" t="n">
        <x:v>0.0659501510601086</x:v>
      </x:c>
      <x:c r="H8" s="55" t="n">
        <x:v>0.1991258657038904</x:v>
      </x:c>
      <x:c r="I8" s="56" t="n">
        <x:v>0.4208471122818269</x:v>
      </x:c>
      <x:c r="J8" s="56" t="n">
        <x:v>0.33119831432737923</x:v>
      </x:c>
      <x:c r="K8" s="55" t="n">
        <x:v>-0.3001579646866521</x:v>
      </x:c>
      <x:c r="L8" s="55" t="n">
        <x:v>0.5108433734939759</x:v>
      </x:c>
      <x:c r="M8" s="50" t="n">
        <x:v>206</x:v>
      </x:c>
      <x:c r="N8" s="50" t="n">
        <x:v>62</x:v>
      </x:c>
      <x:c r="O8" s="57" t="n">
        <x:v>41893.32267134213</x:v>
      </x:c>
      <x:c r="P8" s="56" t="n">
        <x:v>83.32632281109576</x:v>
      </x:c>
    </x:row>
    <x:row r="9">
      <x:c r="A9" s="50" t="str">
        <x:v>strategy</x:v>
      </x:c>
      <x:c r="B9" s="50" t="str">
        <x:v>20</x:v>
      </x:c>
      <x:c r="C9" s="50" t="n">
        <x:v>2</x:v>
      </x:c>
      <x:c r="D9" s="50" t="n">
        <x:v>10</x:v>
      </x:c>
      <x:c r="E9" s="51" t="b">
        <x:v>0</x:v>
      </x:c>
      <x:c r="F9" s="55" t="n">
        <x:v>0.31511357008920804</x:v>
      </x:c>
      <x:c r="G9" s="55" t="n">
        <x:v>0.057010521426223315</x:v>
      </x:c>
      <x:c r="H9" s="55" t="n">
        <x:v>0.19911857798017263</x:v>
      </x:c>
      <x:c r="I9" s="56" t="n">
        <x:v>0.37855050329507833</x:v>
      </x:c>
      <x:c r="J9" s="56" t="n">
        <x:v>0.2863144263309282</x:v>
      </x:c>
      <x:c r="K9" s="55" t="n">
        <x:v>-0.319159170083146</x:v>
      </x:c>
      <x:c r="L9" s="55" t="n">
        <x:v>0.5108433734939759</x:v>
      </x:c>
      <x:c r="M9" s="50" t="n">
        <x:v>206</x:v>
      </x:c>
      <x:c r="N9" s="50" t="n">
        <x:v>62</x:v>
      </x:c>
      <x:c r="O9" s="57" t="n">
        <x:v>81962.1978472237</x:v>
      </x:c>
      <x:c r="P9" s="56" t="n">
        <x:v>83.2988023988912</x:v>
      </x:c>
    </x:row>
    <x:row r="10">
      <x:c r="A10" s="50" t="str">
        <x:v>strategy</x:v>
      </x:c>
      <x:c r="B10" s="50" t="str">
        <x:v>20</x:v>
      </x:c>
      <x:c r="C10" s="50" t="n">
        <x:v>2</x:v>
      </x:c>
      <x:c r="D10" s="50" t="n">
        <x:v>20</x:v>
      </x:c>
      <x:c r="E10" s="51" t="b">
        <x:v>0</x:v>
      </x:c>
      <x:c r="F10" s="55" t="n">
        <x:v>0.21008150941855375</x:v>
      </x:c>
      <x:c r="G10" s="55" t="n">
        <x:v>0.03935157443236936</x:v>
      </x:c>
      <x:c r="H10" s="55" t="n">
        <x:v>0.19920259190587827</x:v>
      </x:c>
      <x:c r="I10" s="56" t="n">
        <x:v>0.29388619729575965</x:v>
      </x:c>
      <x:c r="J10" s="56" t="n">
        <x:v>0.19754549404137617</x:v>
      </x:c>
      <x:c r="K10" s="55" t="n">
        <x:v>-0.35563424436389446</x:v>
      </x:c>
      <x:c r="L10" s="55" t="n">
        <x:v>0.5012048192771085</x:v>
      </x:c>
      <x:c r="M10" s="50" t="n">
        <x:v>206</x:v>
      </x:c>
      <x:c r="N10" s="50" t="n">
        <x:v>62</x:v>
      </x:c>
      <x:c r="O10" s="57" t="n">
        <x:v>156935.7550829777</x:v>
      </x:c>
      <x:c r="P10" s="56" t="n">
        <x:v>83.24384397092581</x:v>
      </x:c>
    </x:row>
    <x:row r="11">
      <x:c r="A11" s="50" t="str">
        <x:v>strategy</x:v>
      </x:c>
      <x:c r="B11" s="50" t="str">
        <x:v>20</x:v>
      </x:c>
      <x:c r="C11" s="50" t="n">
        <x:v>2</x:v>
      </x:c>
      <x:c r="D11" s="50" t="n">
        <x:v>5</x:v>
      </x:c>
      <x:c r="E11" s="51" t="b">
        <x:v>1</x:v>
      </x:c>
      <x:c r="F11" s="55" t="n">
        <x:v>0.370987426010974</x:v>
      </x:c>
      <x:c r="G11" s="55" t="n">
        <x:v>0.0659501510601086</x:v>
      </x:c>
      <x:c r="H11" s="55" t="n">
        <x:v>0.1991258657038904</x:v>
      </x:c>
      <x:c r="I11" s="56" t="n">
        <x:v>0.4208471122818269</x:v>
      </x:c>
      <x:c r="J11" s="56" t="n">
        <x:v>0.33119831432737923</x:v>
      </x:c>
      <x:c r="K11" s="55" t="n">
        <x:v>-0.3001579646866521</x:v>
      </x:c>
      <x:c r="L11" s="55" t="n">
        <x:v>0.5108433734939759</x:v>
      </x:c>
      <x:c r="M11" s="50" t="n">
        <x:v>206</x:v>
      </x:c>
      <x:c r="N11" s="50" t="n">
        <x:v>62</x:v>
      </x:c>
      <x:c r="O11" s="57" t="n">
        <x:v>41893.32267134213</x:v>
      </x:c>
      <x:c r="P11" s="56" t="n">
        <x:v>83.32632281109576</x:v>
      </x:c>
    </x:row>
    <x:row r="12">
      <x:c r="A12" s="50" t="str">
        <x:v>strategy</x:v>
      </x:c>
      <x:c r="B12" s="50" t="str">
        <x:v>20</x:v>
      </x:c>
      <x:c r="C12" s="50" t="n">
        <x:v>2</x:v>
      </x:c>
      <x:c r="D12" s="50" t="n">
        <x:v>10</x:v>
      </x:c>
      <x:c r="E12" s="51" t="b">
        <x:v>1</x:v>
      </x:c>
      <x:c r="F12" s="55" t="n">
        <x:v>0.31511357008920804</x:v>
      </x:c>
      <x:c r="G12" s="55" t="n">
        <x:v>0.057010521426223315</x:v>
      </x:c>
      <x:c r="H12" s="55" t="n">
        <x:v>0.19911857798017263</x:v>
      </x:c>
      <x:c r="I12" s="56" t="n">
        <x:v>0.37855050329507833</x:v>
      </x:c>
      <x:c r="J12" s="56" t="n">
        <x:v>0.2863144263309282</x:v>
      </x:c>
      <x:c r="K12" s="55" t="n">
        <x:v>-0.319159170083146</x:v>
      </x:c>
      <x:c r="L12" s="55" t="n">
        <x:v>0.5108433734939759</x:v>
      </x:c>
      <x:c r="M12" s="50" t="n">
        <x:v>206</x:v>
      </x:c>
      <x:c r="N12" s="50" t="n">
        <x:v>62</x:v>
      </x:c>
      <x:c r="O12" s="57" t="n">
        <x:v>81962.1978472237</x:v>
      </x:c>
      <x:c r="P12" s="56" t="n">
        <x:v>83.2988023988912</x:v>
      </x:c>
    </x:row>
    <x:row r="13">
      <x:c r="A13" s="50" t="str">
        <x:v>strategy</x:v>
      </x:c>
      <x:c r="B13" s="50" t="str">
        <x:v>20</x:v>
      </x:c>
      <x:c r="C13" s="50" t="n">
        <x:v>2</x:v>
      </x:c>
      <x:c r="D13" s="50" t="n">
        <x:v>20</x:v>
      </x:c>
      <x:c r="E13" s="51" t="b">
        <x:v>1</x:v>
      </x:c>
      <x:c r="F13" s="55" t="n">
        <x:v>0.21008150941855375</x:v>
      </x:c>
      <x:c r="G13" s="55" t="n">
        <x:v>0.03935157443236936</x:v>
      </x:c>
      <x:c r="H13" s="55" t="n">
        <x:v>0.19920259190587827</x:v>
      </x:c>
      <x:c r="I13" s="56" t="n">
        <x:v>0.29388619729575965</x:v>
      </x:c>
      <x:c r="J13" s="56" t="n">
        <x:v>0.19754549404137617</x:v>
      </x:c>
      <x:c r="K13" s="55" t="n">
        <x:v>-0.35563424436389446</x:v>
      </x:c>
      <x:c r="L13" s="55" t="n">
        <x:v>0.5012048192771085</x:v>
      </x:c>
      <x:c r="M13" s="50" t="n">
        <x:v>206</x:v>
      </x:c>
      <x:c r="N13" s="50" t="n">
        <x:v>62</x:v>
      </x:c>
      <x:c r="O13" s="57" t="n">
        <x:v>156935.7550829777</x:v>
      </x:c>
      <x:c r="P13" s="56" t="n">
        <x:v>83.24384397092581</x:v>
      </x:c>
    </x:row>
    <x:row r="14">
      <x:c r="A14" s="50" t="str">
        <x:v>strategy</x:v>
      </x:c>
      <x:c r="B14" s="50" t="str">
        <x:v>20</x:v>
      </x:c>
      <x:c r="C14" s="50" t="n">
        <x:v>3</x:v>
      </x:c>
      <x:c r="D14" s="50" t="n">
        <x:v>5</x:v>
      </x:c>
      <x:c r="E14" s="51" t="b">
        <x:v>0</x:v>
      </x:c>
      <x:c r="F14" s="55" t="n">
        <x:v>0.2786696035650702</x:v>
      </x:c>
      <x:c r="G14" s="55" t="n">
        <x:v>0.05101500722223262</x:v>
      </x:c>
      <x:c r="H14" s="55" t="n">
        <x:v>0.16721213838610396</x:v>
      </x:c>
      <x:c r="I14" s="56" t="n">
        <x:v>0.3817650779428542</x:v>
      </x:c>
      <x:c r="J14" s="56" t="n">
        <x:v>0.30509153052295507</x:v>
      </x:c>
      <x:c r="K14" s="55" t="n">
        <x:v>-0.2612722780772192</x:v>
      </x:c>
      <x:c r="L14" s="55" t="n">
        <x:v>0.521285140562249</x:v>
      </x:c>
      <x:c r="M14" s="50" t="n">
        <x:v>283</x:v>
      </x:c>
      <x:c r="N14" s="50" t="n">
        <x:v>62</x:v>
      </x:c>
      <x:c r="O14" s="57" t="n">
        <x:v>35175.27255447023</x:v>
      </x:c>
      <x:c r="P14" s="56" t="n">
        <x:v>66.0390325903395</x:v>
      </x:c>
    </x:row>
    <x:row r="15">
      <x:c r="A15" s="50" t="str">
        <x:v>strategy</x:v>
      </x:c>
      <x:c r="B15" s="50" t="str">
        <x:v>20</x:v>
      </x:c>
      <x:c r="C15" s="50" t="n">
        <x:v>3</x:v>
      </x:c>
      <x:c r="D15" s="50" t="n">
        <x:v>10</x:v>
      </x:c>
      <x:c r="E15" s="51" t="b">
        <x:v>0</x:v>
      </x:c>
      <x:c r="F15" s="55" t="n">
        <x:v>0.23717424853526747</x:v>
      </x:c>
      <x:c r="G15" s="55" t="n">
        <x:v>0.04402019454458639</x:v>
      </x:c>
      <x:c r="H15" s="55" t="n">
        <x:v>0.1671944494795006</x:v>
      </x:c>
      <x:c r="I15" s="56" t="n">
        <x:v>0.34184421980517665</x:v>
      </x:c>
      <x:c r="J15" s="56" t="n">
        <x:v>0.26328741583005494</x:v>
      </x:c>
      <x:c r="K15" s="55" t="n">
        <x:v>-0.2732643667958027</x:v>
      </x:c>
      <x:c r="L15" s="55" t="n">
        <x:v>0.5188755020080321</x:v>
      </x:c>
      <x:c r="M15" s="50" t="n">
        <x:v>283</x:v>
      </x:c>
      <x:c r="N15" s="50" t="n">
        <x:v>62</x:v>
      </x:c>
      <x:c r="O15" s="57" t="n">
        <x:v>69152.718559672</x:v>
      </x:c>
      <x:c r="P15" s="56" t="n">
        <x:v>66.02439499443626</x:v>
      </x:c>
    </x:row>
    <x:row r="16">
      <x:c r="A16" s="50" t="str">
        <x:v>strategy</x:v>
      </x:c>
      <x:c r="B16" s="50" t="str">
        <x:v>20</x:v>
      </x:c>
      <x:c r="C16" s="50" t="n">
        <x:v>3</x:v>
      </x:c>
      <x:c r="D16" s="50" t="n">
        <x:v>20</x:v>
      </x:c>
      <x:c r="E16" s="51" t="b">
        <x:v>0</x:v>
      </x:c>
      <x:c r="F16" s="55" t="n">
        <x:v>0.15815415062670501</x:v>
      </x:c>
      <x:c r="G16" s="55" t="n">
        <x:v>0.030165324754700906</x:v>
      </x:c>
      <x:c r="H16" s="55" t="n">
        <x:v>0.16723485855797504</x:v>
      </x:c>
      <x:c r="I16" s="56" t="n">
        <x:v>0.2619107453149852</x:v>
      </x:c>
      <x:c r="J16" s="56" t="n">
        <x:v>0.18037701598105244</x:v>
      </x:c>
      <x:c r="K16" s="55" t="n">
        <x:v>-0.2966766483945338</x:v>
      </x:c>
      <x:c r="L16" s="55" t="n">
        <x:v>0.5156626506024097</x:v>
      </x:c>
      <x:c r="M16" s="50" t="n">
        <x:v>283</x:v>
      </x:c>
      <x:c r="N16" s="50" t="n">
        <x:v>62</x:v>
      </x:c>
      <x:c r="O16" s="57" t="n">
        <x:v>133673.33010075497</x:v>
      </x:c>
      <x:c r="P16" s="56" t="n">
        <x:v>65.99545896693515</x:v>
      </x:c>
    </x:row>
    <x:row r="17">
      <x:c r="A17" s="50" t="str">
        <x:v>strategy</x:v>
      </x:c>
      <x:c r="B17" s="50" t="str">
        <x:v>20</x:v>
      </x:c>
      <x:c r="C17" s="50" t="n">
        <x:v>3</x:v>
      </x:c>
      <x:c r="D17" s="50" t="n">
        <x:v>5</x:v>
      </x:c>
      <x:c r="E17" s="51" t="b">
        <x:v>1</x:v>
      </x:c>
      <x:c r="F17" s="55" t="n">
        <x:v>0.2786696035650702</x:v>
      </x:c>
      <x:c r="G17" s="55" t="n">
        <x:v>0.05101500722223262</x:v>
      </x:c>
      <x:c r="H17" s="55" t="n">
        <x:v>0.16721213838610396</x:v>
      </x:c>
      <x:c r="I17" s="56" t="n">
        <x:v>0.3817650779428542</x:v>
      </x:c>
      <x:c r="J17" s="56" t="n">
        <x:v>0.30509153052295507</x:v>
      </x:c>
      <x:c r="K17" s="55" t="n">
        <x:v>-0.2612722780772192</x:v>
      </x:c>
      <x:c r="L17" s="55" t="n">
        <x:v>0.521285140562249</x:v>
      </x:c>
      <x:c r="M17" s="50" t="n">
        <x:v>283</x:v>
      </x:c>
      <x:c r="N17" s="50" t="n">
        <x:v>62</x:v>
      </x:c>
      <x:c r="O17" s="57" t="n">
        <x:v>35175.27255447023</x:v>
      </x:c>
      <x:c r="P17" s="56" t="n">
        <x:v>66.0390325903395</x:v>
      </x:c>
    </x:row>
    <x:row r="18">
      <x:c r="A18" s="50" t="str">
        <x:v>strategy</x:v>
      </x:c>
      <x:c r="B18" s="50" t="str">
        <x:v>20</x:v>
      </x:c>
      <x:c r="C18" s="50" t="n">
        <x:v>3</x:v>
      </x:c>
      <x:c r="D18" s="50" t="n">
        <x:v>10</x:v>
      </x:c>
      <x:c r="E18" s="51" t="b">
        <x:v>1</x:v>
      </x:c>
      <x:c r="F18" s="55" t="n">
        <x:v>0.23717424853526747</x:v>
      </x:c>
      <x:c r="G18" s="55" t="n">
        <x:v>0.04402019454458639</x:v>
      </x:c>
      <x:c r="H18" s="55" t="n">
        <x:v>0.1671944494795006</x:v>
      </x:c>
      <x:c r="I18" s="56" t="n">
        <x:v>0.34184421980517665</x:v>
      </x:c>
      <x:c r="J18" s="56" t="n">
        <x:v>0.26328741583005494</x:v>
      </x:c>
      <x:c r="K18" s="55" t="n">
        <x:v>-0.2732643667958027</x:v>
      </x:c>
      <x:c r="L18" s="55" t="n">
        <x:v>0.5188755020080321</x:v>
      </x:c>
      <x:c r="M18" s="50" t="n">
        <x:v>283</x:v>
      </x:c>
      <x:c r="N18" s="50" t="n">
        <x:v>62</x:v>
      </x:c>
      <x:c r="O18" s="57" t="n">
        <x:v>69152.718559672</x:v>
      </x:c>
      <x:c r="P18" s="56" t="n">
        <x:v>66.02439499443626</x:v>
      </x:c>
    </x:row>
    <x:row r="19">
      <x:c r="A19" s="50" t="str">
        <x:v>strategy</x:v>
      </x:c>
      <x:c r="B19" s="50" t="str">
        <x:v>20</x:v>
      </x:c>
      <x:c r="C19" s="50" t="n">
        <x:v>3</x:v>
      </x:c>
      <x:c r="D19" s="50" t="n">
        <x:v>20</x:v>
      </x:c>
      <x:c r="E19" s="51" t="b">
        <x:v>1</x:v>
      </x:c>
      <x:c r="F19" s="55" t="n">
        <x:v>0.15815415062670501</x:v>
      </x:c>
      <x:c r="G19" s="55" t="n">
        <x:v>0.030165324754700906</x:v>
      </x:c>
      <x:c r="H19" s="55" t="n">
        <x:v>0.16723485855797504</x:v>
      </x:c>
      <x:c r="I19" s="56" t="n">
        <x:v>0.2619107453149852</x:v>
      </x:c>
      <x:c r="J19" s="56" t="n">
        <x:v>0.18037701598105244</x:v>
      </x:c>
      <x:c r="K19" s="55" t="n">
        <x:v>-0.2966766483945338</x:v>
      </x:c>
      <x:c r="L19" s="55" t="n">
        <x:v>0.5156626506024097</x:v>
      </x:c>
      <x:c r="M19" s="50" t="n">
        <x:v>283</x:v>
      </x:c>
      <x:c r="N19" s="50" t="n">
        <x:v>62</x:v>
      </x:c>
      <x:c r="O19" s="57" t="n">
        <x:v>133673.33010075497</x:v>
      </x:c>
      <x:c r="P19" s="56" t="n">
        <x:v>65.99545896693515</x:v>
      </x:c>
    </x:row>
    <x:row r="20">
      <x:c r="A20" s="50" t="str">
        <x:v>strategy</x:v>
      </x:c>
      <x:c r="B20" s="50" t="str">
        <x:v>60</x:v>
      </x:c>
      <x:c r="C20" s="50" t="n">
        <x:v>1</x:v>
      </x:c>
      <x:c r="D20" s="50" t="n">
        <x:v>5</x:v>
      </x:c>
      <x:c r="E20" s="51" t="b">
        <x:v>0</x:v>
      </x:c>
      <x:c r="F20" s="55" t="n">
        <x:v>-0.176669363999149</x:v>
      </x:c>
      <x:c r="G20" s="55" t="n">
        <x:v>-0.03858383566408641</x:v>
      </x:c>
      <x:c r="H20" s="55" t="n">
        <x:v>0.2661134260878011</x:v>
      </x:c>
      <x:c r="I20" s="56" t="n">
        <x:v>-0.013306404168475075</x:v>
      </x:c>
      <x:c r="J20" s="56" t="n">
        <x:v>-0.14499018794848823</x:v>
      </x:c>
      <x:c r="K20" s="55" t="n">
        <x:v>-0.5118671479859155</x:v>
      </x:c>
      <x:c r="L20" s="55" t="n">
        <x:v>0.5108433734939759</x:v>
      </x:c>
      <x:c r="M20" s="50" t="n">
        <x:v>69</x:v>
      </x:c>
      <x:c r="N20" s="50" t="n">
        <x:v>62</x:v>
      </x:c>
      <x:c r="O20" s="57" t="n">
        <x:v>24088.946245433362</x:v>
      </x:c>
      <x:c r="P20" s="56" t="n">
        <x:v>69.16158476978985</x:v>
      </x:c>
    </x:row>
    <x:row r="21">
      <x:c r="A21" s="50" t="str">
        <x:v>strategy</x:v>
      </x:c>
      <x:c r="B21" s="50" t="str">
        <x:v>60</x:v>
      </x:c>
      <x:c r="C21" s="50" t="n">
        <x:v>1</x:v>
      </x:c>
      <x:c r="D21" s="50" t="n">
        <x:v>10</x:v>
      </x:c>
      <x:c r="E21" s="51" t="b">
        <x:v>0</x:v>
      </x:c>
      <x:c r="F21" s="55" t="n">
        <x:v>-0.20458959058151627</x:v>
      </x:c>
      <x:c r="G21" s="55" t="n">
        <x:v>-0.04527407673141992</x:v>
      </x:c>
      <x:c r="H21" s="55" t="n">
        <x:v>0.2660034068112422</x:v>
      </x:c>
      <x:c r="I21" s="56" t="n">
        <x:v>-0.03966835553262375</x:v>
      </x:c>
      <x:c r="J21" s="56" t="n">
        <x:v>-0.1702011161215943</x:v>
      </x:c>
      <x:c r="K21" s="55" t="n">
        <x:v>-0.523919197986852</x:v>
      </x:c>
      <x:c r="L21" s="55" t="n">
        <x:v>0.5084337349397591</x:v>
      </x:c>
      <x:c r="M21" s="50" t="n">
        <x:v>69</x:v>
      </x:c>
      <x:c r="N21" s="50" t="n">
        <x:v>62</x:v>
      </x:c>
      <x:c r="O21" s="57" t="n">
        <x:v>47349.917165030536</x:v>
      </x:c>
      <x:c r="P21" s="56" t="n">
        <x:v>69.1270385236511</x:v>
      </x:c>
    </x:row>
    <x:row r="22">
      <x:c r="A22" s="50" t="str">
        <x:v>strategy</x:v>
      </x:c>
      <x:c r="B22" s="50" t="str">
        <x:v>60</x:v>
      </x:c>
      <x:c r="C22" s="50" t="n">
        <x:v>1</x:v>
      </x:c>
      <x:c r="D22" s="50" t="n">
        <x:v>20</x:v>
      </x:c>
      <x:c r="E22" s="51" t="b">
        <x:v>0</x:v>
      </x:c>
      <x:c r="F22" s="55" t="n">
        <x:v>-0.2576212492308557</x:v>
      </x:c>
      <x:c r="G22" s="55" t="n">
        <x:v>-0.05851509606060734</x:v>
      </x:c>
      <x:c r="H22" s="55" t="n">
        <x:v>0.26586010168266905</x:v>
      </x:c>
      <x:c r="I22" s="56" t="n">
        <x:v>-0.09235209288570233</x:v>
      </x:c>
      <x:c r="J22" s="56" t="n">
        <x:v>-0.22009732069707486</x:v>
      </x:c>
      <x:c r="K22" s="55" t="n">
        <x:v>-0.5471379855192398</x:v>
      </x:c>
      <x:c r="L22" s="55" t="n">
        <x:v>0.5076305220883535</x:v>
      </x:c>
      <x:c r="M22" s="50" t="n">
        <x:v>69</x:v>
      </x:c>
      <x:c r="N22" s="50" t="n">
        <x:v>62</x:v>
      </x:c>
      <x:c r="O22" s="57" t="n">
        <x:v>91504.03435372749</x:v>
      </x:c>
      <x:c r="P22" s="56" t="n">
        <x:v>69.05804946324825</x:v>
      </x:c>
    </x:row>
    <x:row r="23">
      <x:c r="A23" s="50" t="str">
        <x:v>strategy</x:v>
      </x:c>
      <x:c r="B23" s="50" t="str">
        <x:v>60</x:v>
      </x:c>
      <x:c r="C23" s="50" t="n">
        <x:v>1</x:v>
      </x:c>
      <x:c r="D23" s="50" t="n">
        <x:v>5</x:v>
      </x:c>
      <x:c r="E23" s="51" t="b">
        <x:v>1</x:v>
      </x:c>
      <x:c r="F23" s="55" t="n">
        <x:v>-0.176669363999149</x:v>
      </x:c>
      <x:c r="G23" s="55" t="n">
        <x:v>-0.03858383566408641</x:v>
      </x:c>
      <x:c r="H23" s="55" t="n">
        <x:v>0.2661134260878011</x:v>
      </x:c>
      <x:c r="I23" s="56" t="n">
        <x:v>-0.013306404168475075</x:v>
      </x:c>
      <x:c r="J23" s="56" t="n">
        <x:v>-0.14499018794848823</x:v>
      </x:c>
      <x:c r="K23" s="55" t="n">
        <x:v>-0.5118671479859155</x:v>
      </x:c>
      <x:c r="L23" s="55" t="n">
        <x:v>0.5108433734939759</x:v>
      </x:c>
      <x:c r="M23" s="50" t="n">
        <x:v>69</x:v>
      </x:c>
      <x:c r="N23" s="50" t="n">
        <x:v>62</x:v>
      </x:c>
      <x:c r="O23" s="57" t="n">
        <x:v>24088.946245433362</x:v>
      </x:c>
      <x:c r="P23" s="56" t="n">
        <x:v>69.16158476978985</x:v>
      </x:c>
    </x:row>
    <x:row r="24">
      <x:c r="A24" s="50" t="str">
        <x:v>strategy</x:v>
      </x:c>
      <x:c r="B24" s="50" t="str">
        <x:v>60</x:v>
      </x:c>
      <x:c r="C24" s="50" t="n">
        <x:v>1</x:v>
      </x:c>
      <x:c r="D24" s="50" t="n">
        <x:v>10</x:v>
      </x:c>
      <x:c r="E24" s="51" t="b">
        <x:v>1</x:v>
      </x:c>
      <x:c r="F24" s="55" t="n">
        <x:v>-0.20458959058151627</x:v>
      </x:c>
      <x:c r="G24" s="55" t="n">
        <x:v>-0.04527407673141992</x:v>
      </x:c>
      <x:c r="H24" s="55" t="n">
        <x:v>0.2660034068112422</x:v>
      </x:c>
      <x:c r="I24" s="56" t="n">
        <x:v>-0.03966835553262375</x:v>
      </x:c>
      <x:c r="J24" s="56" t="n">
        <x:v>-0.1702011161215943</x:v>
      </x:c>
      <x:c r="K24" s="55" t="n">
        <x:v>-0.523919197986852</x:v>
      </x:c>
      <x:c r="L24" s="55" t="n">
        <x:v>0.5084337349397591</x:v>
      </x:c>
      <x:c r="M24" s="50" t="n">
        <x:v>69</x:v>
      </x:c>
      <x:c r="N24" s="50" t="n">
        <x:v>62</x:v>
      </x:c>
      <x:c r="O24" s="57" t="n">
        <x:v>47349.917165030536</x:v>
      </x:c>
      <x:c r="P24" s="56" t="n">
        <x:v>69.1270385236511</x:v>
      </x:c>
    </x:row>
    <x:row r="25">
      <x:c r="A25" s="50" t="str">
        <x:v>strategy</x:v>
      </x:c>
      <x:c r="B25" s="50" t="str">
        <x:v>60</x:v>
      </x:c>
      <x:c r="C25" s="50" t="n">
        <x:v>1</x:v>
      </x:c>
      <x:c r="D25" s="50" t="n">
        <x:v>20</x:v>
      </x:c>
      <x:c r="E25" s="51" t="b">
        <x:v>1</x:v>
      </x:c>
      <x:c r="F25" s="55" t="n">
        <x:v>-0.2576212492308557</x:v>
      </x:c>
      <x:c r="G25" s="55" t="n">
        <x:v>-0.05851509606060734</x:v>
      </x:c>
      <x:c r="H25" s="55" t="n">
        <x:v>0.26586010168266905</x:v>
      </x:c>
      <x:c r="I25" s="56" t="n">
        <x:v>-0.09235209288570233</x:v>
      </x:c>
      <x:c r="J25" s="56" t="n">
        <x:v>-0.22009732069707486</x:v>
      </x:c>
      <x:c r="K25" s="55" t="n">
        <x:v>-0.5471379855192398</x:v>
      </x:c>
      <x:c r="L25" s="55" t="n">
        <x:v>0.5076305220883535</x:v>
      </x:c>
      <x:c r="M25" s="50" t="n">
        <x:v>69</x:v>
      </x:c>
      <x:c r="N25" s="50" t="n">
        <x:v>62</x:v>
      </x:c>
      <x:c r="O25" s="57" t="n">
        <x:v>91504.03435372749</x:v>
      </x:c>
      <x:c r="P25" s="56" t="n">
        <x:v>69.05804946324825</x:v>
      </x:c>
    </x:row>
    <x:row r="26">
      <x:c r="A26" s="50" t="str">
        <x:v>strategy</x:v>
      </x:c>
      <x:c r="B26" s="50" t="str">
        <x:v>60</x:v>
      </x:c>
      <x:c r="C26" s="50" t="n">
        <x:v>2</x:v>
      </x:c>
      <x:c r="D26" s="50" t="n">
        <x:v>5</x:v>
      </x:c>
      <x:c r="E26" s="51" t="b">
        <x:v>0</x:v>
      </x:c>
      <x:c r="F26" s="55" t="n">
        <x:v>-0.21784704174591807</x:v>
      </x:c>
      <x:c r="G26" s="55" t="n">
        <x:v>-0.048516612712298235</x:v>
      </x:c>
      <x:c r="H26" s="55" t="n">
        <x:v>0.19880016362076555</x:v>
      </x:c>
      <x:c r="I26" s="56" t="n">
        <x:v>-0.1498454251566965</x:v>
      </x:c>
      <x:c r="J26" s="56" t="n">
        <x:v>-0.24404714678630407</x:v>
      </x:c>
      <x:c r="K26" s="55" t="n">
        <x:v>-0.4494318945776712</x:v>
      </x:c>
      <x:c r="L26" s="55" t="n">
        <x:v>0.5285140562248996</x:v>
      </x:c>
      <x:c r="M26" s="50" t="n">
        <x:v>175</x:v>
      </x:c>
      <x:c r="N26" s="50" t="n">
        <x:v>62</x:v>
      </x:c>
      <x:c r="O26" s="57" t="n">
        <x:v>19707.86949477472</x:v>
      </x:c>
      <x:c r="P26" s="56" t="n">
        <x:v>52.633001344842725</x:v>
      </x:c>
    </x:row>
    <x:row r="27">
      <x:c r="A27" s="50" t="str">
        <x:v>strategy</x:v>
      </x:c>
      <x:c r="B27" s="50" t="str">
        <x:v>60</x:v>
      </x:c>
      <x:c r="C27" s="50" t="n">
        <x:v>2</x:v>
      </x:c>
      <x:c r="D27" s="50" t="n">
        <x:v>10</x:v>
      </x:c>
      <x:c r="E27" s="51" t="b">
        <x:v>0</x:v>
      </x:c>
      <x:c r="F27" s="55" t="n">
        <x:v>-0.23818137970184794</x:v>
      </x:c>
      <x:c r="G27" s="55" t="n">
        <x:v>-0.05357626838658691</x:v>
      </x:c>
      <x:c r="H27" s="55" t="n">
        <x:v>0.19882556760905098</x:v>
      </x:c>
      <x:c r="I27" s="56" t="n">
        <x:v>-0.17660774067420437</x:v>
      </x:c>
      <x:c r="J27" s="56" t="n">
        <x:v>-0.26946367628097745</x:v>
      </x:c>
      <x:c r="K27" s="55" t="n">
        <x:v>-0.4593205090114233</x:v>
      </x:c>
      <x:c r="L27" s="55" t="n">
        <x:v>0.5277108433734939</x:v>
      </x:c>
      <x:c r="M27" s="50" t="n">
        <x:v>175</x:v>
      </x:c>
      <x:c r="N27" s="50" t="n">
        <x:v>62</x:v>
      </x:c>
      <x:c r="O27" s="57" t="n">
        <x:v>38917.832747257955</x:v>
      </x:c>
      <x:c r="P27" s="56" t="n">
        <x:v>52.6211989941836</x:v>
      </x:c>
    </x:row>
    <x:row r="28">
      <x:c r="A28" s="50" t="str">
        <x:v>strategy</x:v>
      </x:c>
      <x:c r="B28" s="50" t="str">
        <x:v>60</x:v>
      </x:c>
      <x:c r="C28" s="50" t="n">
        <x:v>2</x:v>
      </x:c>
      <x:c r="D28" s="50" t="n">
        <x:v>20</x:v>
      </x:c>
      <x:c r="E28" s="51" t="b">
        <x:v>0</x:v>
      </x:c>
      <x:c r="F28" s="55" t="n">
        <x:v>-0.2772889614952503</x:v>
      </x:c>
      <x:c r="G28" s="55" t="n">
        <x:v>-0.06361792066783434</x:v>
      </x:c>
      <x:c r="H28" s="55" t="n">
        <x:v>0.19892488778744347</x:v>
      </x:c>
      <x:c r="I28" s="56" t="n">
        <x:v>-0.23002092302786958</x:v>
      </x:c>
      <x:c r="J28" s="56" t="n">
        <x:v>-0.3198087548291684</x:v>
      </x:c>
      <x:c r="K28" s="55" t="n">
        <x:v>-0.4785745386095579</x:v>
      </x:c>
      <x:c r="L28" s="55" t="n">
        <x:v>0.5261044176706827</x:v>
      </x:c>
      <x:c r="M28" s="50" t="n">
        <x:v>175</x:v>
      </x:c>
      <x:c r="N28" s="50" t="n">
        <x:v>62</x:v>
      </x:c>
      <x:c r="O28" s="57" t="n">
        <x:v>75896.03335184579</x:v>
      </x:c>
      <x:c r="P28" s="56" t="n">
        <x:v>52.59816070537488</x:v>
      </x:c>
    </x:row>
    <x:row r="29">
      <x:c r="A29" s="50" t="str">
        <x:v>strategy</x:v>
      </x:c>
      <x:c r="B29" s="50" t="str">
        <x:v>60</x:v>
      </x:c>
      <x:c r="C29" s="50" t="n">
        <x:v>2</x:v>
      </x:c>
      <x:c r="D29" s="50" t="n">
        <x:v>5</x:v>
      </x:c>
      <x:c r="E29" s="51" t="b">
        <x:v>1</x:v>
      </x:c>
      <x:c r="F29" s="55" t="n">
        <x:v>-0.21784704174591807</x:v>
      </x:c>
      <x:c r="G29" s="55" t="n">
        <x:v>-0.048516612712298235</x:v>
      </x:c>
      <x:c r="H29" s="55" t="n">
        <x:v>0.19880016362076555</x:v>
      </x:c>
      <x:c r="I29" s="56" t="n">
        <x:v>-0.1498454251566965</x:v>
      </x:c>
      <x:c r="J29" s="56" t="n">
        <x:v>-0.24404714678630407</x:v>
      </x:c>
      <x:c r="K29" s="55" t="n">
        <x:v>-0.4494318945776712</x:v>
      </x:c>
      <x:c r="L29" s="55" t="n">
        <x:v>0.5285140562248996</x:v>
      </x:c>
      <x:c r="M29" s="50" t="n">
        <x:v>175</x:v>
      </x:c>
      <x:c r="N29" s="50" t="n">
        <x:v>62</x:v>
      </x:c>
      <x:c r="O29" s="57" t="n">
        <x:v>19707.86949477472</x:v>
      </x:c>
      <x:c r="P29" s="56" t="n">
        <x:v>52.633001344842725</x:v>
      </x:c>
    </x:row>
    <x:row r="30">
      <x:c r="A30" s="50" t="str">
        <x:v>strategy</x:v>
      </x:c>
      <x:c r="B30" s="50" t="str">
        <x:v>60</x:v>
      </x:c>
      <x:c r="C30" s="50" t="n">
        <x:v>2</x:v>
      </x:c>
      <x:c r="D30" s="50" t="n">
        <x:v>10</x:v>
      </x:c>
      <x:c r="E30" s="51" t="b">
        <x:v>1</x:v>
      </x:c>
      <x:c r="F30" s="55" t="n">
        <x:v>-0.23818137970184794</x:v>
      </x:c>
      <x:c r="G30" s="55" t="n">
        <x:v>-0.05357626838658691</x:v>
      </x:c>
      <x:c r="H30" s="55" t="n">
        <x:v>0.19882556760905098</x:v>
      </x:c>
      <x:c r="I30" s="56" t="n">
        <x:v>-0.17660774067420437</x:v>
      </x:c>
      <x:c r="J30" s="56" t="n">
        <x:v>-0.26946367628097745</x:v>
      </x:c>
      <x:c r="K30" s="55" t="n">
        <x:v>-0.4593205090114233</x:v>
      </x:c>
      <x:c r="L30" s="55" t="n">
        <x:v>0.5277108433734939</x:v>
      </x:c>
      <x:c r="M30" s="50" t="n">
        <x:v>175</x:v>
      </x:c>
      <x:c r="N30" s="50" t="n">
        <x:v>62</x:v>
      </x:c>
      <x:c r="O30" s="57" t="n">
        <x:v>38917.832747257955</x:v>
      </x:c>
      <x:c r="P30" s="56" t="n">
        <x:v>52.6211989941836</x:v>
      </x:c>
    </x:row>
    <x:row r="31">
      <x:c r="A31" s="50" t="str">
        <x:v>strategy</x:v>
      </x:c>
      <x:c r="B31" s="50" t="str">
        <x:v>60</x:v>
      </x:c>
      <x:c r="C31" s="50" t="n">
        <x:v>2</x:v>
      </x:c>
      <x:c r="D31" s="50" t="n">
        <x:v>20</x:v>
      </x:c>
      <x:c r="E31" s="51" t="b">
        <x:v>1</x:v>
      </x:c>
      <x:c r="F31" s="55" t="n">
        <x:v>-0.2772889614952503</x:v>
      </x:c>
      <x:c r="G31" s="55" t="n">
        <x:v>-0.06361792066783434</x:v>
      </x:c>
      <x:c r="H31" s="55" t="n">
        <x:v>0.19892488778744347</x:v>
      </x:c>
      <x:c r="I31" s="56" t="n">
        <x:v>-0.23002092302786958</x:v>
      </x:c>
      <x:c r="J31" s="56" t="n">
        <x:v>-0.3198087548291684</x:v>
      </x:c>
      <x:c r="K31" s="55" t="n">
        <x:v>-0.4785745386095579</x:v>
      </x:c>
      <x:c r="L31" s="55" t="n">
        <x:v>0.5261044176706827</x:v>
      </x:c>
      <x:c r="M31" s="50" t="n">
        <x:v>175</x:v>
      </x:c>
      <x:c r="N31" s="50" t="n">
        <x:v>62</x:v>
      </x:c>
      <x:c r="O31" s="57" t="n">
        <x:v>75896.03335184579</x:v>
      </x:c>
      <x:c r="P31" s="56" t="n">
        <x:v>52.59816070537488</x:v>
      </x:c>
    </x:row>
    <x:row r="32">
      <x:c r="A32" s="50" t="str">
        <x:v>strategy</x:v>
      </x:c>
      <x:c r="B32" s="50" t="str">
        <x:v>60</x:v>
      </x:c>
      <x:c r="C32" s="50" t="n">
        <x:v>3</x:v>
      </x:c>
      <x:c r="D32" s="50" t="n">
        <x:v>5</x:v>
      </x:c>
      <x:c r="E32" s="51" t="b">
        <x:v>0</x:v>
      </x:c>
      <x:c r="F32" s="55" t="n">
        <x:v>-0.03600789760155376</x:v>
      </x:c>
      <x:c r="G32" s="55" t="n">
        <x:v>-0.007395321120917453</x:v>
      </x:c>
      <x:c r="H32" s="55" t="n">
        <x:v>0.17063007770590877</x:v>
      </x:c>
      <x:c r="I32" s="56" t="n">
        <x:v>0.04252369118270264</x:v>
      </x:c>
      <x:c r="J32" s="56" t="n">
        <x:v>-0.04334125155626861</x:v>
      </x:c>
      <x:c r="K32" s="55" t="n">
        <x:v>-0.32907605283400665</x:v>
      </x:c>
      <x:c r="L32" s="55" t="n">
        <x:v>0.5317269076305221</x:v>
      </x:c>
      <x:c r="M32" s="50" t="n">
        <x:v>249</x:v>
      </x:c>
      <x:c r="N32" s="50" t="n">
        <x:v>62</x:v>
      </x:c>
      <x:c r="O32" s="57" t="n">
        <x:v>19243.935506860587</x:v>
      </x:c>
      <x:c r="P32" s="56" t="n">
        <x:v>43.963965581407905</x:v>
      </x:c>
    </x:row>
    <x:row r="33">
      <x:c r="A33" s="50" t="str">
        <x:v>strategy</x:v>
      </x:c>
      <x:c r="B33" s="50" t="str">
        <x:v>60</x:v>
      </x:c>
      <x:c r="C33" s="50" t="n">
        <x:v>3</x:v>
      </x:c>
      <x:c r="D33" s="50" t="n">
        <x:v>10</x:v>
      </x:c>
      <x:c r="E33" s="51" t="b">
        <x:v>0</x:v>
      </x:c>
      <x:c r="F33" s="55" t="n">
        <x:v>-0.05696123072902004</x:v>
      </x:c>
      <x:c r="G33" s="55" t="n">
        <x:v>-0.011800715983219301</x:v>
      </x:c>
      <x:c r="H33" s="55" t="n">
        <x:v>0.1706524351499121</x:v>
      </x:c>
      <x:c r="I33" s="56" t="n">
        <x:v>0.016482106326747993</x:v>
      </x:c>
      <x:c r="J33" s="56" t="n">
        <x:v>-0.06915058652900435</x:v>
      </x:c>
      <x:c r="K33" s="55" t="n">
        <x:v>-0.33790809497663743</x:v>
      </x:c>
      <x:c r="L33" s="55" t="n">
        <x:v>0.5309236947791165</x:v>
      </x:c>
      <x:c r="M33" s="50" t="n">
        <x:v>249</x:v>
      </x:c>
      <x:c r="N33" s="50" t="n">
        <x:v>62</x:v>
      </x:c>
      <x:c r="O33" s="57" t="n">
        <x:v>38061.757351447755</x:v>
      </x:c>
      <x:c r="P33" s="56" t="n">
        <x:v>43.95271047382623</x:v>
      </x:c>
    </x:row>
    <x:row r="34">
      <x:c r="A34" s="50" t="str">
        <x:v>strategy</x:v>
      </x:c>
      <x:c r="B34" s="50" t="str">
        <x:v>60</x:v>
      </x:c>
      <x:c r="C34" s="50" t="n">
        <x:v>3</x:v>
      </x:c>
      <x:c r="D34" s="50" t="n">
        <x:v>20</x:v>
      </x:c>
      <x:c r="E34" s="51" t="b">
        <x:v>0</x:v>
      </x:c>
      <x:c r="F34" s="55" t="n">
        <x:v>-0.09751738401287813</x:v>
      </x:c>
      <x:c r="G34" s="55" t="n">
        <x:v>-0.020554235002122057</x:v>
      </x:c>
      <x:c r="H34" s="55" t="n">
        <x:v>0.17074228623102988</x:v>
      </x:c>
      <x:c r="I34" s="56" t="n">
        <x:v>-0.035532215483199854</x:v>
      </x:c>
      <x:c r="J34" s="56" t="n">
        <x:v>-0.12038163161473837</x:v>
      </x:c>
      <x:c r="K34" s="55" t="n">
        <x:v>-0.35522882755980834</x:v>
      </x:c>
      <x:c r="L34" s="55" t="n">
        <x:v>0.5277108433734939</x:v>
      </x:c>
      <x:c r="M34" s="50" t="n">
        <x:v>249</x:v>
      </x:c>
      <x:c r="N34" s="50" t="n">
        <x:v>62</x:v>
      </x:c>
      <x:c r="O34" s="57" t="n">
        <x:v>74457.33708589982</x:v>
      </x:c>
      <x:c r="P34" s="56" t="n">
        <x:v>43.93061861357186</x:v>
      </x:c>
    </x:row>
    <x:row r="35">
      <x:c r="A35" s="50" t="str">
        <x:v>strategy</x:v>
      </x:c>
      <x:c r="B35" s="50" t="str">
        <x:v>60</x:v>
      </x:c>
      <x:c r="C35" s="50" t="n">
        <x:v>3</x:v>
      </x:c>
      <x:c r="D35" s="50" t="n">
        <x:v>5</x:v>
      </x:c>
      <x:c r="E35" s="51" t="b">
        <x:v>1</x:v>
      </x:c>
      <x:c r="F35" s="55" t="n">
        <x:v>-0.03600789760155376</x:v>
      </x:c>
      <x:c r="G35" s="55" t="n">
        <x:v>-0.007395321120917453</x:v>
      </x:c>
      <x:c r="H35" s="55" t="n">
        <x:v>0.17063007770590877</x:v>
      </x:c>
      <x:c r="I35" s="56" t="n">
        <x:v>0.04252369118270264</x:v>
      </x:c>
      <x:c r="J35" s="56" t="n">
        <x:v>-0.04334125155626861</x:v>
      </x:c>
      <x:c r="K35" s="55" t="n">
        <x:v>-0.32907605283400665</x:v>
      </x:c>
      <x:c r="L35" s="55" t="n">
        <x:v>0.5317269076305221</x:v>
      </x:c>
      <x:c r="M35" s="50" t="n">
        <x:v>249</x:v>
      </x:c>
      <x:c r="N35" s="50" t="n">
        <x:v>62</x:v>
      </x:c>
      <x:c r="O35" s="57" t="n">
        <x:v>19243.935506860587</x:v>
      </x:c>
      <x:c r="P35" s="56" t="n">
        <x:v>43.963965581407905</x:v>
      </x:c>
    </x:row>
    <x:row r="36">
      <x:c r="A36" s="50" t="str">
        <x:v>strategy</x:v>
      </x:c>
      <x:c r="B36" s="50" t="str">
        <x:v>60</x:v>
      </x:c>
      <x:c r="C36" s="50" t="n">
        <x:v>3</x:v>
      </x:c>
      <x:c r="D36" s="50" t="n">
        <x:v>10</x:v>
      </x:c>
      <x:c r="E36" s="51" t="b">
        <x:v>1</x:v>
      </x:c>
      <x:c r="F36" s="55" t="n">
        <x:v>-0.05696123072902004</x:v>
      </x:c>
      <x:c r="G36" s="55" t="n">
        <x:v>-0.011800715983219301</x:v>
      </x:c>
      <x:c r="H36" s="55" t="n">
        <x:v>0.1706524351499121</x:v>
      </x:c>
      <x:c r="I36" s="56" t="n">
        <x:v>0.016482106326747993</x:v>
      </x:c>
      <x:c r="J36" s="56" t="n">
        <x:v>-0.06915058652900435</x:v>
      </x:c>
      <x:c r="K36" s="55" t="n">
        <x:v>-0.33790809497663743</x:v>
      </x:c>
      <x:c r="L36" s="55" t="n">
        <x:v>0.5309236947791165</x:v>
      </x:c>
      <x:c r="M36" s="50" t="n">
        <x:v>249</x:v>
      </x:c>
      <x:c r="N36" s="50" t="n">
        <x:v>62</x:v>
      </x:c>
      <x:c r="O36" s="57" t="n">
        <x:v>38061.757351447755</x:v>
      </x:c>
      <x:c r="P36" s="56" t="n">
        <x:v>43.95271047382623</x:v>
      </x:c>
    </x:row>
    <x:row r="37">
      <x:c r="A37" s="50" t="str">
        <x:v>strategy</x:v>
      </x:c>
      <x:c r="B37" s="50" t="str">
        <x:v>60</x:v>
      </x:c>
      <x:c r="C37" s="50" t="n">
        <x:v>3</x:v>
      </x:c>
      <x:c r="D37" s="50" t="n">
        <x:v>20</x:v>
      </x:c>
      <x:c r="E37" s="51" t="b">
        <x:v>1</x:v>
      </x:c>
      <x:c r="F37" s="55" t="n">
        <x:v>-0.09751738401287813</x:v>
      </x:c>
      <x:c r="G37" s="55" t="n">
        <x:v>-0.020554235002122057</x:v>
      </x:c>
      <x:c r="H37" s="55" t="n">
        <x:v>0.17074228623102988</x:v>
      </x:c>
      <x:c r="I37" s="56" t="n">
        <x:v>-0.035532215483199854</x:v>
      </x:c>
      <x:c r="J37" s="56" t="n">
        <x:v>-0.12038163161473837</x:v>
      </x:c>
      <x:c r="K37" s="55" t="n">
        <x:v>-0.35522882755980834</x:v>
      </x:c>
      <x:c r="L37" s="55" t="n">
        <x:v>0.5277108433734939</x:v>
      </x:c>
      <x:c r="M37" s="50" t="n">
        <x:v>249</x:v>
      </x:c>
      <x:c r="N37" s="50" t="n">
        <x:v>62</x:v>
      </x:c>
      <x:c r="O37" s="57" t="n">
        <x:v>74457.33708589982</x:v>
      </x:c>
      <x:c r="P37" s="56" t="n">
        <x:v>43.93061861357186</x:v>
      </x:c>
    </x:row>
    <x:row r="38">
      <x:c r="A38" s="50" t="str">
        <x:v>strategy</x:v>
      </x:c>
      <x:c r="B38" s="50" t="str">
        <x:v>120</x:v>
      </x:c>
      <x:c r="C38" s="50" t="n">
        <x:v>1</x:v>
      </x:c>
      <x:c r="D38" s="50" t="n">
        <x:v>5</x:v>
      </x:c>
      <x:c r="E38" s="51" t="b">
        <x:v>0</x:v>
      </x:c>
      <x:c r="F38" s="55" t="n">
        <x:v>0.26107784801076717</x:v>
      </x:c>
      <x:c r="G38" s="55" t="n">
        <x:v>0.04807202969743307</x:v>
      </x:c>
      <x:c r="H38" s="55" t="n">
        <x:v>0.2600549724539069</x:v>
      </x:c>
      <x:c r="I38" s="56" t="n">
        <x:v>0.31232043459055503</x:v>
      </x:c>
      <x:c r="J38" s="56" t="n">
        <x:v>0.18485333790705938</x:v>
      </x:c>
      <x:c r="K38" s="55" t="n">
        <x:v>-0.43994856065063503</x:v>
      </x:c>
      <x:c r="L38" s="55" t="n">
        <x:v>0.5180722891566265</x:v>
      </x:c>
      <x:c r="M38" s="50" t="n">
        <x:v>39</x:v>
      </x:c>
      <x:c r="N38" s="50" t="n">
        <x:v>62</x:v>
      </x:c>
      <x:c r="O38" s="57" t="n">
        <x:v>26912.811273992636</x:v>
      </x:c>
      <x:c r="P38" s="56" t="n">
        <x:v>39.128971303894744</x:v>
      </x:c>
    </x:row>
    <x:row r="39">
      <x:c r="A39" s="50" t="str">
        <x:v>strategy</x:v>
      </x:c>
      <x:c r="B39" s="50" t="str">
        <x:v>120</x:v>
      </x:c>
      <x:c r="C39" s="50" t="n">
        <x:v>1</x:v>
      </x:c>
      <x:c r="D39" s="50" t="n">
        <x:v>10</x:v>
      </x:c>
      <x:c r="E39" s="51" t="b">
        <x:v>0</x:v>
      </x:c>
      <x:c r="F39" s="55" t="n">
        <x:v>0.23672549121708597</x:v>
      </x:c>
      <x:c r="G39" s="55" t="n">
        <x:v>0.04394353193605638</x:v>
      </x:c>
      <x:c r="H39" s="55" t="n">
        <x:v>0.25994475613270324</x:v>
      </x:c>
      <x:c r="I39" s="56" t="n">
        <x:v>0.2971589495462838</x:v>
      </x:c>
      <x:c r="J39" s="56" t="n">
        <x:v>0.1690495034014957</x:v>
      </x:c>
      <x:c r="K39" s="55" t="n">
        <x:v>-0.4432988104409239</x:v>
      </x:c>
      <x:c r="L39" s="55" t="n">
        <x:v>0.5172690763052209</x:v>
      </x:c>
      <x:c r="M39" s="50" t="n">
        <x:v>39</x:v>
      </x:c>
      <x:c r="N39" s="50" t="n">
        <x:v>62</x:v>
      </x:c>
      <x:c r="O39" s="57" t="n">
        <x:v>53276.6626743142</x:v>
      </x:c>
      <x:c r="P39" s="56" t="n">
        <x:v>39.10942636318351</x:v>
      </x:c>
    </x:row>
    <x:row r="40">
      <x:c r="A40" s="50" t="str">
        <x:v>strategy</x:v>
      </x:c>
      <x:c r="B40" s="50" t="str">
        <x:v>120</x:v>
      </x:c>
      <x:c r="C40" s="50" t="n">
        <x:v>1</x:v>
      </x:c>
      <x:c r="D40" s="50" t="n">
        <x:v>20</x:v>
      </x:c>
      <x:c r="E40" s="51" t="b">
        <x:v>0</x:v>
      </x:c>
      <x:c r="F40" s="55" t="n">
        <x:v>0.18942329409782976</x:v>
      </x:c>
      <x:c r="G40" s="55" t="n">
        <x:v>0.035735403413451605</x:v>
      </x:c>
      <x:c r="H40" s="55" t="n">
        <x:v>0.2597694031587864</x:v>
      </x:c>
      <x:c r="I40" s="56" t="n">
        <x:v>0.2667968977653041</x:v>
      </x:c>
      <x:c r="J40" s="56" t="n">
        <x:v>0.13756586795407932</x:v>
      </x:c>
      <x:c r="K40" s="55" t="n">
        <x:v>-0.4499393174818307</x:v>
      </x:c>
      <x:c r="L40" s="55" t="n">
        <x:v>0.5156626506024097</x:v>
      </x:c>
      <x:c r="M40" s="50" t="n">
        <x:v>39</x:v>
      </x:c>
      <x:c r="N40" s="50" t="n">
        <x:v>62</x:v>
      </x:c>
      <x:c r="O40" s="57" t="n">
        <x:v>104400.44601411835</x:v>
      </x:c>
      <x:c r="P40" s="56" t="n">
        <x:v>39.070394999547595</x:v>
      </x:c>
    </x:row>
    <x:row r="41">
      <x:c r="A41" s="50" t="str">
        <x:v>strategy</x:v>
      </x:c>
      <x:c r="B41" s="50" t="str">
        <x:v>120</x:v>
      </x:c>
      <x:c r="C41" s="50" t="n">
        <x:v>1</x:v>
      </x:c>
      <x:c r="D41" s="50" t="n">
        <x:v>5</x:v>
      </x:c>
      <x:c r="E41" s="51" t="b">
        <x:v>1</x:v>
      </x:c>
      <x:c r="F41" s="55" t="n">
        <x:v>0.26107784801076717</x:v>
      </x:c>
      <x:c r="G41" s="55" t="n">
        <x:v>0.04807202969743307</x:v>
      </x:c>
      <x:c r="H41" s="55" t="n">
        <x:v>0.2600549724539069</x:v>
      </x:c>
      <x:c r="I41" s="56" t="n">
        <x:v>0.31232043459055503</x:v>
      </x:c>
      <x:c r="J41" s="56" t="n">
        <x:v>0.18485333790705938</x:v>
      </x:c>
      <x:c r="K41" s="55" t="n">
        <x:v>-0.43994856065063503</x:v>
      </x:c>
      <x:c r="L41" s="55" t="n">
        <x:v>0.5180722891566265</x:v>
      </x:c>
      <x:c r="M41" s="50" t="n">
        <x:v>39</x:v>
      </x:c>
      <x:c r="N41" s="50" t="n">
        <x:v>62</x:v>
      </x:c>
      <x:c r="O41" s="57" t="n">
        <x:v>26912.811273992636</x:v>
      </x:c>
      <x:c r="P41" s="56" t="n">
        <x:v>39.128971303894744</x:v>
      </x:c>
    </x:row>
    <x:row r="42">
      <x:c r="A42" s="50" t="str">
        <x:v>strategy</x:v>
      </x:c>
      <x:c r="B42" s="50" t="str">
        <x:v>120</x:v>
      </x:c>
      <x:c r="C42" s="50" t="n">
        <x:v>1</x:v>
      </x:c>
      <x:c r="D42" s="50" t="n">
        <x:v>10</x:v>
      </x:c>
      <x:c r="E42" s="51" t="b">
        <x:v>1</x:v>
      </x:c>
      <x:c r="F42" s="55" t="n">
        <x:v>0.23672549121708597</x:v>
      </x:c>
      <x:c r="G42" s="55" t="n">
        <x:v>0.04394353193605638</x:v>
      </x:c>
      <x:c r="H42" s="55" t="n">
        <x:v>0.25994475613270324</x:v>
      </x:c>
      <x:c r="I42" s="56" t="n">
        <x:v>0.2971589495462838</x:v>
      </x:c>
      <x:c r="J42" s="56" t="n">
        <x:v>0.1690495034014957</x:v>
      </x:c>
      <x:c r="K42" s="55" t="n">
        <x:v>-0.4432988104409239</x:v>
      </x:c>
      <x:c r="L42" s="55" t="n">
        <x:v>0.5172690763052209</x:v>
      </x:c>
      <x:c r="M42" s="50" t="n">
        <x:v>39</x:v>
      </x:c>
      <x:c r="N42" s="50" t="n">
        <x:v>62</x:v>
      </x:c>
      <x:c r="O42" s="57" t="n">
        <x:v>53276.6626743142</x:v>
      </x:c>
      <x:c r="P42" s="56" t="n">
        <x:v>39.10942636318351</x:v>
      </x:c>
    </x:row>
    <x:row r="43">
      <x:c r="A43" s="50" t="str">
        <x:v>strategy</x:v>
      </x:c>
      <x:c r="B43" s="50" t="str">
        <x:v>120</x:v>
      </x:c>
      <x:c r="C43" s="50" t="n">
        <x:v>1</x:v>
      </x:c>
      <x:c r="D43" s="50" t="n">
        <x:v>20</x:v>
      </x:c>
      <x:c r="E43" s="51" t="b">
        <x:v>1</x:v>
      </x:c>
      <x:c r="F43" s="55" t="n">
        <x:v>0.18942329409782976</x:v>
      </x:c>
      <x:c r="G43" s="55" t="n">
        <x:v>0.035735403413451605</x:v>
      </x:c>
      <x:c r="H43" s="55" t="n">
        <x:v>0.2597694031587864</x:v>
      </x:c>
      <x:c r="I43" s="56" t="n">
        <x:v>0.2667968977653041</x:v>
      </x:c>
      <x:c r="J43" s="56" t="n">
        <x:v>0.13756586795407932</x:v>
      </x:c>
      <x:c r="K43" s="55" t="n">
        <x:v>-0.4499393174818307</x:v>
      </x:c>
      <x:c r="L43" s="55" t="n">
        <x:v>0.5156626506024097</x:v>
      </x:c>
      <x:c r="M43" s="50" t="n">
        <x:v>39</x:v>
      </x:c>
      <x:c r="N43" s="50" t="n">
        <x:v>62</x:v>
      </x:c>
      <x:c r="O43" s="57" t="n">
        <x:v>104400.44601411835</x:v>
      </x:c>
      <x:c r="P43" s="56" t="n">
        <x:v>39.070394999547595</x:v>
      </x:c>
    </x:row>
    <x:row r="44">
      <x:c r="A44" s="50" t="str">
        <x:v>strategy</x:v>
      </x:c>
      <x:c r="B44" s="50" t="str">
        <x:v>120</x:v>
      </x:c>
      <x:c r="C44" s="50" t="n">
        <x:v>2</x:v>
      </x:c>
      <x:c r="D44" s="50" t="n">
        <x:v>5</x:v>
      </x:c>
      <x:c r="E44" s="51" t="b">
        <x:v>0</x:v>
      </x:c>
      <x:c r="F44" s="55" t="n">
        <x:v>0.012346014222573087</x:v>
      </x:c>
      <x:c r="G44" s="55" t="n">
        <x:v>0.002486738847568448</x:v>
      </x:c>
      <x:c r="H44" s="55" t="n">
        <x:v>0.19786426092864706</x:v>
      </x:c>
      <x:c r="I44" s="56" t="n">
        <x:v>0.112492571420667</x:v>
      </x:c>
      <x:c r="J44" s="56" t="n">
        <x:v>0.012567903045741066</x:v>
      </x:c>
      <x:c r="K44" s="55" t="n">
        <x:v>-0.29819721705141966</x:v>
      </x:c>
      <x:c r="L44" s="55" t="n">
        <x:v>0.5172690763052209</x:v>
      </x:c>
      <x:c r="M44" s="50" t="n">
        <x:v>173</x:v>
      </x:c>
      <x:c r="N44" s="50" t="n">
        <x:v>62</x:v>
      </x:c>
      <x:c r="O44" s="57" t="n">
        <x:v>24599.267586846203</x:v>
      </x:c>
      <x:c r="P44" s="56" t="n">
        <x:v>50.83384047142006</x:v>
      </x:c>
    </x:row>
    <x:row r="45">
      <x:c r="A45" s="50" t="str">
        <x:v>strategy</x:v>
      </x:c>
      <x:c r="B45" s="50" t="str">
        <x:v>120</x:v>
      </x:c>
      <x:c r="C45" s="50" t="n">
        <x:v>2</x:v>
      </x:c>
      <x:c r="D45" s="50" t="n">
        <x:v>10</x:v>
      </x:c>
      <x:c r="E45" s="51" t="b">
        <x:v>0</x:v>
      </x:c>
      <x:c r="F45" s="55" t="n">
        <x:v>-0.01302075575689754</x:v>
      </x:c>
      <x:c r="G45" s="55" t="n">
        <x:v>-0.0026493194942783793</x:v>
      </x:c>
      <x:c r="H45" s="55" t="n">
        <x:v>0.19784379549668465</x:v>
      </x:c>
      <x:c r="I45" s="56" t="n">
        <x:v>0.08652456502341101</x:v>
      </x:c>
      <x:c r="J45" s="56" t="n">
        <x:v>-0.013390965774930126</x:v>
      </x:c>
      <x:c r="K45" s="55" t="n">
        <x:v>-0.3006897402155372</x:v>
      </x:c>
      <x:c r="L45" s="55" t="n">
        <x:v>0.5172690763052209</x:v>
      </x:c>
      <x:c r="M45" s="50" t="n">
        <x:v>173</x:v>
      </x:c>
      <x:c r="N45" s="50" t="n">
        <x:v>62</x:v>
      </x:c>
      <x:c r="O45" s="57" t="n">
        <x:v>48570.804115570434</x:v>
      </x:c>
      <x:c r="P45" s="56" t="n">
        <x:v>50.820171755407884</x:v>
      </x:c>
    </x:row>
    <x:row r="46">
      <x:c r="A46" s="50" t="str">
        <x:v>strategy</x:v>
      </x:c>
      <x:c r="B46" s="50" t="str">
        <x:v>120</x:v>
      </x:c>
      <x:c r="C46" s="50" t="n">
        <x:v>2</x:v>
      </x:c>
      <x:c r="D46" s="50" t="n">
        <x:v>20</x:v>
      </x:c>
      <x:c r="E46" s="51" t="b">
        <x:v>0</x:v>
      </x:c>
      <x:c r="F46" s="55" t="n">
        <x:v>-0.06186907937685515</x:v>
      </x:c>
      <x:c r="G46" s="55" t="n">
        <x:v>-0.01284385111925157</x:v>
      </x:c>
      <x:c r="H46" s="55" t="n">
        <x:v>0.1978492933897598</x:v>
      </x:c>
      <x:c r="I46" s="56" t="n">
        <x:v>0.03460608619301398</x:v>
      </x:c>
      <x:c r="J46" s="56" t="n">
        <x:v>-0.06491734642665313</x:v>
      </x:c>
      <x:c r="K46" s="55" t="n">
        <x:v>-0.3056477501444608</x:v>
      </x:c>
      <x:c r="L46" s="55" t="n">
        <x:v>0.5140562248995983</x:v>
      </x:c>
      <x:c r="M46" s="50" t="n">
        <x:v>173</x:v>
      </x:c>
      <x:c r="N46" s="50" t="n">
        <x:v>62</x:v>
      </x:c>
      <x:c r="O46" s="57" t="n">
        <x:v>94694.06650557881</x:v>
      </x:c>
      <x:c r="P46" s="56" t="n">
        <x:v>50.79287524768296</x:v>
      </x:c>
    </x:row>
    <x:row r="47">
      <x:c r="A47" s="50" t="str">
        <x:v>strategy</x:v>
      </x:c>
      <x:c r="B47" s="50" t="str">
        <x:v>120</x:v>
      </x:c>
      <x:c r="C47" s="50" t="n">
        <x:v>2</x:v>
      </x:c>
      <x:c r="D47" s="50" t="n">
        <x:v>5</x:v>
      </x:c>
      <x:c r="E47" s="51" t="b">
        <x:v>1</x:v>
      </x:c>
      <x:c r="F47" s="55" t="n">
        <x:v>0.012346014222573087</x:v>
      </x:c>
      <x:c r="G47" s="55" t="n">
        <x:v>0.002486738847568448</x:v>
      </x:c>
      <x:c r="H47" s="55" t="n">
        <x:v>0.19786426092864706</x:v>
      </x:c>
      <x:c r="I47" s="56" t="n">
        <x:v>0.112492571420667</x:v>
      </x:c>
      <x:c r="J47" s="56" t="n">
        <x:v>0.012567903045741066</x:v>
      </x:c>
      <x:c r="K47" s="55" t="n">
        <x:v>-0.29819721705141966</x:v>
      </x:c>
      <x:c r="L47" s="55" t="n">
        <x:v>0.5172690763052209</x:v>
      </x:c>
      <x:c r="M47" s="50" t="n">
        <x:v>173</x:v>
      </x:c>
      <x:c r="N47" s="50" t="n">
        <x:v>62</x:v>
      </x:c>
      <x:c r="O47" s="57" t="n">
        <x:v>24599.267586846203</x:v>
      </x:c>
      <x:c r="P47" s="56" t="n">
        <x:v>50.83384047142006</x:v>
      </x:c>
    </x:row>
    <x:row r="48">
      <x:c r="A48" s="50" t="str">
        <x:v>strategy</x:v>
      </x:c>
      <x:c r="B48" s="50" t="str">
        <x:v>120</x:v>
      </x:c>
      <x:c r="C48" s="50" t="n">
        <x:v>2</x:v>
      </x:c>
      <x:c r="D48" s="50" t="n">
        <x:v>10</x:v>
      </x:c>
      <x:c r="E48" s="51" t="b">
        <x:v>1</x:v>
      </x:c>
      <x:c r="F48" s="55" t="n">
        <x:v>-0.01302075575689754</x:v>
      </x:c>
      <x:c r="G48" s="55" t="n">
        <x:v>-0.0026493194942783793</x:v>
      </x:c>
      <x:c r="H48" s="55" t="n">
        <x:v>0.19784379549668465</x:v>
      </x:c>
      <x:c r="I48" s="56" t="n">
        <x:v>0.08652456502341101</x:v>
      </x:c>
      <x:c r="J48" s="56" t="n">
        <x:v>-0.013390965774930126</x:v>
      </x:c>
      <x:c r="K48" s="55" t="n">
        <x:v>-0.3006897402155372</x:v>
      </x:c>
      <x:c r="L48" s="55" t="n">
        <x:v>0.5172690763052209</x:v>
      </x:c>
      <x:c r="M48" s="50" t="n">
        <x:v>173</x:v>
      </x:c>
      <x:c r="N48" s="50" t="n">
        <x:v>62</x:v>
      </x:c>
      <x:c r="O48" s="57" t="n">
        <x:v>48570.804115570434</x:v>
      </x:c>
      <x:c r="P48" s="56" t="n">
        <x:v>50.820171755407884</x:v>
      </x:c>
    </x:row>
    <x:row r="49">
      <x:c r="A49" s="50" t="str">
        <x:v>strategy</x:v>
      </x:c>
      <x:c r="B49" s="50" t="str">
        <x:v>120</x:v>
      </x:c>
      <x:c r="C49" s="50" t="n">
        <x:v>2</x:v>
      </x:c>
      <x:c r="D49" s="50" t="n">
        <x:v>20</x:v>
      </x:c>
      <x:c r="E49" s="51" t="b">
        <x:v>1</x:v>
      </x:c>
      <x:c r="F49" s="55" t="n">
        <x:v>-0.06186907937685515</x:v>
      </x:c>
      <x:c r="G49" s="55" t="n">
        <x:v>-0.01284385111925157</x:v>
      </x:c>
      <x:c r="H49" s="55" t="n">
        <x:v>0.1978492933897598</x:v>
      </x:c>
      <x:c r="I49" s="56" t="n">
        <x:v>0.03460608619301398</x:v>
      </x:c>
      <x:c r="J49" s="56" t="n">
        <x:v>-0.06491734642665313</x:v>
      </x:c>
      <x:c r="K49" s="55" t="n">
        <x:v>-0.3056477501444608</x:v>
      </x:c>
      <x:c r="L49" s="55" t="n">
        <x:v>0.5140562248995983</x:v>
      </x:c>
      <x:c r="M49" s="50" t="n">
        <x:v>173</x:v>
      </x:c>
      <x:c r="N49" s="50" t="n">
        <x:v>62</x:v>
      </x:c>
      <x:c r="O49" s="57" t="n">
        <x:v>94694.06650557881</x:v>
      </x:c>
      <x:c r="P49" s="56" t="n">
        <x:v>50.79287524768296</x:v>
      </x:c>
    </x:row>
    <x:row r="50">
      <x:c r="A50" s="50" t="str">
        <x:v>strategy</x:v>
      </x:c>
      <x:c r="B50" s="50" t="str">
        <x:v>120</x:v>
      </x:c>
      <x:c r="C50" s="50" t="n">
        <x:v>3</x:v>
      </x:c>
      <x:c r="D50" s="50" t="n">
        <x:v>5</x:v>
      </x:c>
      <x:c r="E50" s="51" t="b">
        <x:v>0</x:v>
      </x:c>
      <x:c r="F50" s="55" t="n">
        <x:v>0.24725161935126572</x:v>
      </x:c>
      <x:c r="G50" s="55" t="n">
        <x:v>0.04573592980774155</x:v>
      </x:c>
      <x:c r="H50" s="55" t="n">
        <x:v>0.17178505052585116</x:v>
      </x:c>
      <x:c r="I50" s="56" t="n">
        <x:v>0.34714304058616474</x:v>
      </x:c>
      <x:c r="J50" s="56" t="n">
        <x:v>0.266239289552492</x:v>
      </x:c>
      <x:c r="K50" s="55" t="n">
        <x:v>-0.2600434144058884</x:v>
      </x:c>
      <x:c r="L50" s="55" t="n">
        <x:v>0.5397590361445783</x:v>
      </x:c>
      <x:c r="M50" s="50" t="n">
        <x:v>230</x:v>
      </x:c>
      <x:c r="N50" s="50" t="n">
        <x:v>62</x:v>
      </x:c>
      <x:c r="O50" s="57" t="n">
        <x:v>16527.524997069504</x:v>
      </x:c>
      <x:c r="P50" s="56" t="n">
        <x:v>31.508052965777118</x:v>
      </x:c>
    </x:row>
    <x:row r="51">
      <x:c r="A51" s="50" t="str">
        <x:v>strategy</x:v>
      </x:c>
      <x:c r="B51" s="50" t="str">
        <x:v>120</x:v>
      </x:c>
      <x:c r="C51" s="50" t="n">
        <x:v>3</x:v>
      </x:c>
      <x:c r="D51" s="50" t="n">
        <x:v>10</x:v>
      </x:c>
      <x:c r="E51" s="51" t="b">
        <x:v>0</x:v>
      </x:c>
      <x:c r="F51" s="55" t="n">
        <x:v>0.22780083826640984</x:v>
      </x:c>
      <x:c r="G51" s="55" t="n">
        <x:v>0.042414277755480345</x:v>
      </x:c>
      <x:c r="H51" s="55" t="n">
        <x:v>0.17175977349935218</x:v>
      </x:c>
      <x:c r="I51" s="56" t="n">
        <x:v>0.32864658947802655</x:v>
      </x:c>
      <x:c r="J51" s="56" t="n">
        <x:v>0.24693953008525782</x:v>
      </x:c>
      <x:c r="K51" s="55" t="n">
        <x:v>-0.2630321640964539</x:v>
      </x:c>
      <x:c r="L51" s="55" t="n">
        <x:v>0.5389558232931727</x:v>
      </x:c>
      <x:c r="M51" s="50" t="n">
        <x:v>230</x:v>
      </x:c>
      <x:c r="N51" s="50" t="n">
        <x:v>62</x:v>
      </x:c>
      <x:c r="O51" s="57" t="n">
        <x:v>32787.897918336595</x:v>
      </x:c>
      <x:c r="P51" s="56" t="n">
        <x:v>31.502734170265185</x:v>
      </x:c>
    </x:row>
    <x:row r="52">
      <x:c r="A52" s="50" t="str">
        <x:v>strategy</x:v>
      </x:c>
      <x:c r="B52" s="50" t="str">
        <x:v>120</x:v>
      </x:c>
      <x:c r="C52" s="50" t="n">
        <x:v>3</x:v>
      </x:c>
      <x:c r="D52" s="50" t="n">
        <x:v>20</x:v>
      </x:c>
      <x:c r="E52" s="51" t="b">
        <x:v>0</x:v>
      </x:c>
      <x:c r="F52" s="55" t="n">
        <x:v>0.18979659703598295</x:v>
      </x:c>
      <x:c r="G52" s="55" t="n">
        <x:v>0.03580119201104992</x:v>
      </x:c>
      <x:c r="H52" s="55" t="n">
        <x:v>0.17173497122766573</x:v>
      </x:c>
      <x:c r="I52" s="56" t="n">
        <x:v>0.2916122612012165</x:v>
      </x:c>
      <x:c r="J52" s="56" t="n">
        <x:v>0.2084676857318069</x:v>
      </x:c>
      <x:c r="K52" s="55" t="n">
        <x:v>-0.2689740075816498</x:v>
      </x:c>
      <x:c r="L52" s="55" t="n">
        <x:v>0.5373493975903615</x:v>
      </x:c>
      <x:c r="M52" s="50" t="n">
        <x:v>230</x:v>
      </x:c>
      <x:c r="N52" s="50" t="n">
        <x:v>62</x:v>
      </x:c>
      <x:c r="O52" s="57" t="n">
        <x:v>64524.04810179785</x:v>
      </x:c>
      <x:c r="P52" s="56" t="n">
        <x:v>31.49211131948346</x:v>
      </x:c>
    </x:row>
    <x:row r="53">
      <x:c r="A53" s="50" t="str">
        <x:v>strategy</x:v>
      </x:c>
      <x:c r="B53" s="50" t="str">
        <x:v>120</x:v>
      </x:c>
      <x:c r="C53" s="50" t="n">
        <x:v>3</x:v>
      </x:c>
      <x:c r="D53" s="50" t="n">
        <x:v>5</x:v>
      </x:c>
      <x:c r="E53" s="51" t="b">
        <x:v>1</x:v>
      </x:c>
      <x:c r="F53" s="55" t="n">
        <x:v>0.24725161935126572</x:v>
      </x:c>
      <x:c r="G53" s="55" t="n">
        <x:v>0.04573592980774155</x:v>
      </x:c>
      <x:c r="H53" s="55" t="n">
        <x:v>0.17178505052585116</x:v>
      </x:c>
      <x:c r="I53" s="56" t="n">
        <x:v>0.34714304058616474</x:v>
      </x:c>
      <x:c r="J53" s="56" t="n">
        <x:v>0.266239289552492</x:v>
      </x:c>
      <x:c r="K53" s="55" t="n">
        <x:v>-0.2600434144058884</x:v>
      </x:c>
      <x:c r="L53" s="55" t="n">
        <x:v>0.5397590361445783</x:v>
      </x:c>
      <x:c r="M53" s="50" t="n">
        <x:v>230</x:v>
      </x:c>
      <x:c r="N53" s="50" t="n">
        <x:v>62</x:v>
      </x:c>
      <x:c r="O53" s="57" t="n">
        <x:v>16527.524997069504</x:v>
      </x:c>
      <x:c r="P53" s="56" t="n">
        <x:v>31.508052965777118</x:v>
      </x:c>
    </x:row>
    <x:row r="54">
      <x:c r="A54" s="50" t="str">
        <x:v>strategy</x:v>
      </x:c>
      <x:c r="B54" s="50" t="str">
        <x:v>120</x:v>
      </x:c>
      <x:c r="C54" s="50" t="n">
        <x:v>3</x:v>
      </x:c>
      <x:c r="D54" s="50" t="n">
        <x:v>10</x:v>
      </x:c>
      <x:c r="E54" s="51" t="b">
        <x:v>1</x:v>
      </x:c>
      <x:c r="F54" s="55" t="n">
        <x:v>0.22780083826640984</x:v>
      </x:c>
      <x:c r="G54" s="55" t="n">
        <x:v>0.042414277755480345</x:v>
      </x:c>
      <x:c r="H54" s="55" t="n">
        <x:v>0.17175977349935218</x:v>
      </x:c>
      <x:c r="I54" s="56" t="n">
        <x:v>0.32864658947802655</x:v>
      </x:c>
      <x:c r="J54" s="56" t="n">
        <x:v>0.24693953008525782</x:v>
      </x:c>
      <x:c r="K54" s="55" t="n">
        <x:v>-0.2630321640964539</x:v>
      </x:c>
      <x:c r="L54" s="55" t="n">
        <x:v>0.5389558232931727</x:v>
      </x:c>
      <x:c r="M54" s="50" t="n">
        <x:v>230</x:v>
      </x:c>
      <x:c r="N54" s="50" t="n">
        <x:v>62</x:v>
      </x:c>
      <x:c r="O54" s="57" t="n">
        <x:v>32787.897918336595</x:v>
      </x:c>
      <x:c r="P54" s="56" t="n">
        <x:v>31.502734170265185</x:v>
      </x:c>
    </x:row>
    <x:row r="55">
      <x:c r="A55" s="50" t="str">
        <x:v>strategy</x:v>
      </x:c>
      <x:c r="B55" s="50" t="str">
        <x:v>120</x:v>
      </x:c>
      <x:c r="C55" s="50" t="n">
        <x:v>3</x:v>
      </x:c>
      <x:c r="D55" s="50" t="n">
        <x:v>20</x:v>
      </x:c>
      <x:c r="E55" s="51" t="b">
        <x:v>1</x:v>
      </x:c>
      <x:c r="F55" s="55" t="n">
        <x:v>0.18979659703598295</x:v>
      </x:c>
      <x:c r="G55" s="55" t="n">
        <x:v>0.03580119201104992</x:v>
      </x:c>
      <x:c r="H55" s="55" t="n">
        <x:v>0.17173497122766573</x:v>
      </x:c>
      <x:c r="I55" s="56" t="n">
        <x:v>0.2916122612012165</x:v>
      </x:c>
      <x:c r="J55" s="56" t="n">
        <x:v>0.2084676857318069</x:v>
      </x:c>
      <x:c r="K55" s="55" t="n">
        <x:v>-0.2689740075816498</x:v>
      </x:c>
      <x:c r="L55" s="55" t="n">
        <x:v>0.5373493975903615</x:v>
      </x:c>
      <x:c r="M55" s="50" t="n">
        <x:v>230</x:v>
      </x:c>
      <x:c r="N55" s="50" t="n">
        <x:v>62</x:v>
      </x:c>
      <x:c r="O55" s="57" t="n">
        <x:v>64524.04810179785</x:v>
      </x:c>
      <x:c r="P55" s="56" t="n">
        <x:v>31.49211131948346</x:v>
      </x:c>
    </x:row>
    <x:row r="56">
      <x:c r="A56" s="50" t="str">
        <x:v>strategy</x:v>
      </x:c>
      <x:c r="B56" s="50" t="str">
        <x:v>20+60+120</x:v>
      </x:c>
      <x:c r="C56" s="50" t="n">
        <x:v>1</x:v>
      </x:c>
      <x:c r="D56" s="50" t="n">
        <x:v>5</x:v>
      </x:c>
      <x:c r="E56" s="51" t="b">
        <x:v>0</x:v>
      </x:c>
      <x:c r="F56" s="55" t="n">
        <x:v>-0.1479387707414911</x:v>
      </x:c>
      <x:c r="G56" s="55" t="n">
        <x:v>-0.031885732291326296</x:v>
      </x:c>
      <x:c r="H56" s="55" t="n">
        <x:v>0.258886548908792</x:v>
      </x:c>
      <x:c r="I56" s="56" t="n">
        <x:v>0.005442232950841424</x:v>
      </x:c>
      <x:c r="J56" s="56" t="n">
        <x:v>-0.1231648860310619</x:v>
      </x:c>
      <x:c r="K56" s="55" t="n">
        <x:v>-0.4576949880618165</x:v>
      </x:c>
      <x:c r="L56" s="55" t="n">
        <x:v>0.4995983935742972</x:v>
      </x:c>
      <x:c r="M56" s="50" t="n">
        <x:v>67</x:v>
      </x:c>
      <x:c r="N56" s="50" t="n">
        <x:v>62</x:v>
      </x:c>
      <x:c r="O56" s="57" t="n">
        <x:v>25149.86390794067</x:v>
      </x:c>
      <x:c r="P56" s="56" t="n">
        <x:v>67.13030283917251</x:v>
      </x:c>
    </x:row>
    <x:row r="57">
      <x:c r="A57" s="50" t="str">
        <x:v>strategy</x:v>
      </x:c>
      <x:c r="B57" s="50" t="str">
        <x:v>20+60+120</x:v>
      </x:c>
      <x:c r="C57" s="50" t="n">
        <x:v>1</x:v>
      </x:c>
      <x:c r="D57" s="50" t="n">
        <x:v>10</x:v>
      </x:c>
      <x:c r="E57" s="51" t="b">
        <x:v>0</x:v>
      </x:c>
      <x:c r="F57" s="55" t="n">
        <x:v>-0.1760097106813454</x:v>
      </x:c>
      <x:c r="G57" s="55" t="n">
        <x:v>-0.038427971826426766</x:v>
      </x:c>
      <x:c r="H57" s="55" t="n">
        <x:v>0.2587901585069874</x:v>
      </x:c>
      <x:c r="I57" s="56" t="n">
        <x:v>-0.02085010092932762</x:v>
      </x:c>
      <x:c r="J57" s="56" t="n">
        <x:v>-0.14849085470686166</x:v>
      </x:c>
      <x:c r="K57" s="55" t="n">
        <x:v>-0.4721413286087587</x:v>
      </x:c>
      <x:c r="L57" s="55" t="n">
        <x:v>0.4971887550200803</x:v>
      </x:c>
      <x:c r="M57" s="50" t="n">
        <x:v>67</x:v>
      </x:c>
      <x:c r="N57" s="50" t="n">
        <x:v>62</x:v>
      </x:c>
      <x:c r="O57" s="57" t="n">
        <x:v>49472.61663596182</x:v>
      </x:c>
      <x:c r="P57" s="56" t="n">
        <x:v>67.09677121937273</x:v>
      </x:c>
    </x:row>
    <x:row r="58">
      <x:c r="A58" s="50" t="str">
        <x:v>strategy</x:v>
      </x:c>
      <x:c r="B58" s="50" t="str">
        <x:v>20+60+120</x:v>
      </x:c>
      <x:c r="C58" s="50" t="n">
        <x:v>1</x:v>
      </x:c>
      <x:c r="D58" s="50" t="n">
        <x:v>20</x:v>
      </x:c>
      <x:c r="E58" s="51" t="b">
        <x:v>0</x:v>
      </x:c>
      <x:c r="F58" s="55" t="n">
        <x:v>-0.2294072000593601</x:v>
      </x:c>
      <x:c r="G58" s="55" t="n">
        <x:v>-0.051379996409319895</x:v>
      </x:c>
      <x:c r="H58" s="55" t="n">
        <x:v>0.25867392072533396</x:v>
      </x:c>
      <x:c r="I58" s="56" t="n">
        <x:v>-0.07339306225874317</x:v>
      </x:c>
      <x:c r="J58" s="56" t="n">
        <x:v>-0.1986284363929999</x:v>
      </x:c>
      <x:c r="K58" s="55" t="n">
        <x:v>-0.4998898100426111</x:v>
      </x:c>
      <x:c r="L58" s="55" t="n">
        <x:v>0.4947791164658635</x:v>
      </x:c>
      <x:c r="M58" s="50" t="n">
        <x:v>67</x:v>
      </x:c>
      <x:c r="N58" s="50" t="n">
        <x:v>62</x:v>
      </x:c>
      <x:c r="O58" s="57" t="n">
        <x:v>95746.85247597663</x:v>
      </x:c>
      <x:c r="P58" s="56" t="n">
        <x:v>67.02980837384442</x:v>
      </x:c>
    </x:row>
    <x:row r="59">
      <x:c r="A59" s="50" t="str">
        <x:v>strategy</x:v>
      </x:c>
      <x:c r="B59" s="50" t="str">
        <x:v>20+60+120</x:v>
      </x:c>
      <x:c r="C59" s="50" t="n">
        <x:v>1</x:v>
      </x:c>
      <x:c r="D59" s="50" t="n">
        <x:v>5</x:v>
      </x:c>
      <x:c r="E59" s="51" t="b">
        <x:v>1</x:v>
      </x:c>
      <x:c r="F59" s="55" t="n">
        <x:v>-0.1479387707414911</x:v>
      </x:c>
      <x:c r="G59" s="55" t="n">
        <x:v>-0.031885732291326296</x:v>
      </x:c>
      <x:c r="H59" s="55" t="n">
        <x:v>0.258886548908792</x:v>
      </x:c>
      <x:c r="I59" s="56" t="n">
        <x:v>0.005442232950841424</x:v>
      </x:c>
      <x:c r="J59" s="56" t="n">
        <x:v>-0.1231648860310619</x:v>
      </x:c>
      <x:c r="K59" s="55" t="n">
        <x:v>-0.4576949880618165</x:v>
      </x:c>
      <x:c r="L59" s="55" t="n">
        <x:v>0.4995983935742972</x:v>
      </x:c>
      <x:c r="M59" s="50" t="n">
        <x:v>67</x:v>
      </x:c>
      <x:c r="N59" s="50" t="n">
        <x:v>62</x:v>
      </x:c>
      <x:c r="O59" s="57" t="n">
        <x:v>25149.86390794067</x:v>
      </x:c>
      <x:c r="P59" s="56" t="n">
        <x:v>67.13030283917251</x:v>
      </x:c>
    </x:row>
    <x:row r="60">
      <x:c r="A60" s="50" t="str">
        <x:v>strategy</x:v>
      </x:c>
      <x:c r="B60" s="50" t="str">
        <x:v>20+60+120</x:v>
      </x:c>
      <x:c r="C60" s="50" t="n">
        <x:v>1</x:v>
      </x:c>
      <x:c r="D60" s="50" t="n">
        <x:v>10</x:v>
      </x:c>
      <x:c r="E60" s="51" t="b">
        <x:v>1</x:v>
      </x:c>
      <x:c r="F60" s="55" t="n">
        <x:v>-0.1760097106813454</x:v>
      </x:c>
      <x:c r="G60" s="55" t="n">
        <x:v>-0.038427971826426766</x:v>
      </x:c>
      <x:c r="H60" s="55" t="n">
        <x:v>0.2587901585069874</x:v>
      </x:c>
      <x:c r="I60" s="56" t="n">
        <x:v>-0.02085010092932762</x:v>
      </x:c>
      <x:c r="J60" s="56" t="n">
        <x:v>-0.14849085470686166</x:v>
      </x:c>
      <x:c r="K60" s="55" t="n">
        <x:v>-0.4721413286087587</x:v>
      </x:c>
      <x:c r="L60" s="55" t="n">
        <x:v>0.4971887550200803</x:v>
      </x:c>
      <x:c r="M60" s="50" t="n">
        <x:v>67</x:v>
      </x:c>
      <x:c r="N60" s="50" t="n">
        <x:v>62</x:v>
      </x:c>
      <x:c r="O60" s="57" t="n">
        <x:v>49472.61663596182</x:v>
      </x:c>
      <x:c r="P60" s="56" t="n">
        <x:v>67.09677121937273</x:v>
      </x:c>
    </x:row>
    <x:row r="61">
      <x:c r="A61" s="50" t="str">
        <x:v>strategy</x:v>
      </x:c>
      <x:c r="B61" s="50" t="str">
        <x:v>20+60+120</x:v>
      </x:c>
      <x:c r="C61" s="50" t="n">
        <x:v>1</x:v>
      </x:c>
      <x:c r="D61" s="50" t="n">
        <x:v>20</x:v>
      </x:c>
      <x:c r="E61" s="51" t="b">
        <x:v>1</x:v>
      </x:c>
      <x:c r="F61" s="55" t="n">
        <x:v>-0.2294072000593601</x:v>
      </x:c>
      <x:c r="G61" s="55" t="n">
        <x:v>-0.051379996409319895</x:v>
      </x:c>
      <x:c r="H61" s="55" t="n">
        <x:v>0.25867392072533396</x:v>
      </x:c>
      <x:c r="I61" s="56" t="n">
        <x:v>-0.07339306225874317</x:v>
      </x:c>
      <x:c r="J61" s="56" t="n">
        <x:v>-0.1986284363929999</x:v>
      </x:c>
      <x:c r="K61" s="55" t="n">
        <x:v>-0.4998898100426111</x:v>
      </x:c>
      <x:c r="L61" s="55" t="n">
        <x:v>0.4947791164658635</x:v>
      </x:c>
      <x:c r="M61" s="50" t="n">
        <x:v>67</x:v>
      </x:c>
      <x:c r="N61" s="50" t="n">
        <x:v>62</x:v>
      </x:c>
      <x:c r="O61" s="57" t="n">
        <x:v>95746.85247597663</x:v>
      </x:c>
      <x:c r="P61" s="56" t="n">
        <x:v>67.02980837384442</x:v>
      </x:c>
    </x:row>
    <x:row r="62">
      <x:c r="A62" s="50" t="str">
        <x:v>strategy</x:v>
      </x:c>
      <x:c r="B62" s="50" t="str">
        <x:v>20+60+120</x:v>
      </x:c>
      <x:c r="C62" s="50" t="n">
        <x:v>2</x:v>
      </x:c>
      <x:c r="D62" s="50" t="n">
        <x:v>5</x:v>
      </x:c>
      <x:c r="E62" s="51" t="b">
        <x:v>0</x:v>
      </x:c>
      <x:c r="F62" s="55" t="n">
        <x:v>-0.24541177991764596</x:v>
      </x:c>
      <x:c r="G62" s="55" t="n">
        <x:v>-0.05540133038151962</x:v>
      </x:c>
      <x:c r="H62" s="55" t="n">
        <x:v>0.20412363530326183</x:v>
      </x:c>
      <x:c r="I62" s="56" t="n">
        <x:v>-0.176090570339236</x:v>
      </x:c>
      <x:c r="J62" s="56" t="n">
        <x:v>-0.2714106590312833</x:v>
      </x:c>
      <x:c r="K62" s="55" t="n">
        <x:v>-0.3944201781096506</x:v>
      </x:c>
      <x:c r="L62" s="55" t="n">
        <x:v>0.5172690763052209</x:v>
      </x:c>
      <x:c r="M62" s="50" t="n">
        <x:v>178</x:v>
      </x:c>
      <x:c r="N62" s="50" t="n">
        <x:v>62</x:v>
      </x:c>
      <x:c r="O62" s="57" t="n">
        <x:v>22480.864449853478</x:v>
      </x:c>
      <x:c r="P62" s="56" t="n">
        <x:v>55.51175672051084</x:v>
      </x:c>
    </x:row>
    <x:row r="63">
      <x:c r="A63" s="50" t="str">
        <x:v>strategy</x:v>
      </x:c>
      <x:c r="B63" s="50" t="str">
        <x:v>20+60+120</x:v>
      </x:c>
      <x:c r="C63" s="50" t="n">
        <x:v>2</x:v>
      </x:c>
      <x:c r="D63" s="50" t="n">
        <x:v>10</x:v>
      </x:c>
      <x:c r="E63" s="51" t="b">
        <x:v>0</x:v>
      </x:c>
      <x:c r="F63" s="55" t="n">
        <x:v>-0.2660731490300633</x:v>
      </x:c>
      <x:c r="G63" s="55" t="n">
        <x:v>-0.06069458260963789</x:v>
      </x:c>
      <x:c r="H63" s="55" t="n">
        <x:v>0.20409725414547486</x:v>
      </x:c>
      <x:c r="I63" s="56" t="n">
        <x:v>-0.20366226651749408</x:v>
      </x:c>
      <x:c r="J63" s="56" t="n">
        <x:v>-0.29738069168915165</x:v>
      </x:c>
      <x:c r="K63" s="55" t="n">
        <x:v>-0.4062231637327156</x:v>
      </x:c>
      <x:c r="L63" s="55" t="n">
        <x:v>0.5172690763052209</x:v>
      </x:c>
      <x:c r="M63" s="50" t="n">
        <x:v>178</x:v>
      </x:c>
      <x:c r="N63" s="50" t="n">
        <x:v>62</x:v>
      </x:c>
      <x:c r="O63" s="57" t="n">
        <x:v>44356.98218714485</x:v>
      </x:c>
      <x:c r="P63" s="56" t="n">
        <x:v>55.4957167316537</x:v>
      </x:c>
    </x:row>
    <x:row r="64">
      <x:c r="A64" s="50" t="str">
        <x:v>strategy</x:v>
      </x:c>
      <x:c r="B64" s="50" t="str">
        <x:v>20+60+120</x:v>
      </x:c>
      <x:c r="C64" s="50" t="n">
        <x:v>2</x:v>
      </x:c>
      <x:c r="D64" s="50" t="n">
        <x:v>20</x:v>
      </x:c>
      <x:c r="E64" s="51" t="b">
        <x:v>0</x:v>
      </x:c>
      <x:c r="F64" s="55" t="n">
        <x:v>-0.30572103525604555</x:v>
      </x:c>
      <x:c r="G64" s="55" t="n">
        <x:v>-0.0711941209746999</x:v>
      </x:c>
      <x:c r="H64" s="55" t="n">
        <x:v>0.20410026484266158</x:v>
      </x:c>
      <x:c r="I64" s="56" t="n">
        <x:v>-0.2587085545526737</x:v>
      </x:c>
      <x:c r="J64" s="56" t="n">
        <x:v>-0.34881934636186085</x:v>
      </x:c>
      <x:c r="K64" s="55" t="n">
        <x:v>-0.42914823700779325</x:v>
      </x:c>
      <x:c r="L64" s="55" t="n">
        <x:v>0.5156626506024097</x:v>
      </x:c>
      <x:c r="M64" s="50" t="n">
        <x:v>178</x:v>
      </x:c>
      <x:c r="N64" s="50" t="n">
        <x:v>62</x:v>
      </x:c>
      <x:c r="O64" s="57" t="n">
        <x:v>86360.54981792346</x:v>
      </x:c>
      <x:c r="P64" s="56" t="n">
        <x:v>55.46368477785818</x:v>
      </x:c>
    </x:row>
    <x:row r="65">
      <x:c r="A65" s="50" t="str">
        <x:v>strategy</x:v>
      </x:c>
      <x:c r="B65" s="50" t="str">
        <x:v>20+60+120</x:v>
      </x:c>
      <x:c r="C65" s="50" t="n">
        <x:v>2</x:v>
      </x:c>
      <x:c r="D65" s="50" t="n">
        <x:v>5</x:v>
      </x:c>
      <x:c r="E65" s="51" t="b">
        <x:v>1</x:v>
      </x:c>
      <x:c r="F65" s="55" t="n">
        <x:v>-0.24541177991764596</x:v>
      </x:c>
      <x:c r="G65" s="55" t="n">
        <x:v>-0.05540133038151962</x:v>
      </x:c>
      <x:c r="H65" s="55" t="n">
        <x:v>0.20412363530326183</x:v>
      </x:c>
      <x:c r="I65" s="56" t="n">
        <x:v>-0.176090570339236</x:v>
      </x:c>
      <x:c r="J65" s="56" t="n">
        <x:v>-0.2714106590312833</x:v>
      </x:c>
      <x:c r="K65" s="55" t="n">
        <x:v>-0.3944201781096506</x:v>
      </x:c>
      <x:c r="L65" s="55" t="n">
        <x:v>0.5172690763052209</x:v>
      </x:c>
      <x:c r="M65" s="50" t="n">
        <x:v>178</x:v>
      </x:c>
      <x:c r="N65" s="50" t="n">
        <x:v>62</x:v>
      </x:c>
      <x:c r="O65" s="57" t="n">
        <x:v>22480.864449853478</x:v>
      </x:c>
      <x:c r="P65" s="56" t="n">
        <x:v>55.51175672051084</x:v>
      </x:c>
    </x:row>
    <x:row r="66">
      <x:c r="A66" s="50" t="str">
        <x:v>strategy</x:v>
      </x:c>
      <x:c r="B66" s="50" t="str">
        <x:v>20+60+120</x:v>
      </x:c>
      <x:c r="C66" s="50" t="n">
        <x:v>2</x:v>
      </x:c>
      <x:c r="D66" s="50" t="n">
        <x:v>10</x:v>
      </x:c>
      <x:c r="E66" s="51" t="b">
        <x:v>1</x:v>
      </x:c>
      <x:c r="F66" s="55" t="n">
        <x:v>-0.2660731490300633</x:v>
      </x:c>
      <x:c r="G66" s="55" t="n">
        <x:v>-0.06069458260963789</x:v>
      </x:c>
      <x:c r="H66" s="55" t="n">
        <x:v>0.20409725414547486</x:v>
      </x:c>
      <x:c r="I66" s="56" t="n">
        <x:v>-0.20366226651749408</x:v>
      </x:c>
      <x:c r="J66" s="56" t="n">
        <x:v>-0.29738069168915165</x:v>
      </x:c>
      <x:c r="K66" s="55" t="n">
        <x:v>-0.4062231637327156</x:v>
      </x:c>
      <x:c r="L66" s="55" t="n">
        <x:v>0.5172690763052209</x:v>
      </x:c>
      <x:c r="M66" s="50" t="n">
        <x:v>178</x:v>
      </x:c>
      <x:c r="N66" s="50" t="n">
        <x:v>62</x:v>
      </x:c>
      <x:c r="O66" s="57" t="n">
        <x:v>44356.98218714485</x:v>
      </x:c>
      <x:c r="P66" s="56" t="n">
        <x:v>55.4957167316537</x:v>
      </x:c>
    </x:row>
    <x:row r="67">
      <x:c r="A67" s="50" t="str">
        <x:v>strategy</x:v>
      </x:c>
      <x:c r="B67" s="50" t="str">
        <x:v>20+60+120</x:v>
      </x:c>
      <x:c r="C67" s="50" t="n">
        <x:v>2</x:v>
      </x:c>
      <x:c r="D67" s="50" t="n">
        <x:v>20</x:v>
      </x:c>
      <x:c r="E67" s="51" t="b">
        <x:v>1</x:v>
      </x:c>
      <x:c r="F67" s="55" t="n">
        <x:v>-0.30572103525604555</x:v>
      </x:c>
      <x:c r="G67" s="55" t="n">
        <x:v>-0.0711941209746999</x:v>
      </x:c>
      <x:c r="H67" s="55" t="n">
        <x:v>0.20410026484266158</x:v>
      </x:c>
      <x:c r="I67" s="56" t="n">
        <x:v>-0.2587085545526737</x:v>
      </x:c>
      <x:c r="J67" s="56" t="n">
        <x:v>-0.34881934636186085</x:v>
      </x:c>
      <x:c r="K67" s="55" t="n">
        <x:v>-0.42914823700779325</x:v>
      </x:c>
      <x:c r="L67" s="55" t="n">
        <x:v>0.5156626506024097</x:v>
      </x:c>
      <x:c r="M67" s="50" t="n">
        <x:v>178</x:v>
      </x:c>
      <x:c r="N67" s="50" t="n">
        <x:v>62</x:v>
      </x:c>
      <x:c r="O67" s="57" t="n">
        <x:v>86360.54981792346</x:v>
      </x:c>
      <x:c r="P67" s="56" t="n">
        <x:v>55.46368477785818</x:v>
      </x:c>
    </x:row>
    <x:row r="68">
      <x:c r="A68" s="50" t="str">
        <x:v>strategy</x:v>
      </x:c>
      <x:c r="B68" s="50" t="str">
        <x:v>20+60+120</x:v>
      </x:c>
      <x:c r="C68" s="50" t="n">
        <x:v>3</x:v>
      </x:c>
      <x:c r="D68" s="50" t="n">
        <x:v>5</x:v>
      </x:c>
      <x:c r="E68" s="51" t="b">
        <x:v>0</x:v>
      </x:c>
      <x:c r="F68" s="55" t="n">
        <x:v>0.09317174989115351</x:v>
      </x:c>
      <x:c r="G68" s="55" t="n">
        <x:v>0.01819487109745399</x:v>
      </x:c>
      <x:c r="H68" s="55" t="n">
        <x:v>0.17406583546590088</x:v>
      </x:c>
      <x:c r="I68" s="56" t="n">
        <x:v>0.1915214948213238</x:v>
      </x:c>
      <x:c r="J68" s="56" t="n">
        <x:v>0.10452867473248836</x:v>
      </x:c>
      <x:c r="K68" s="55" t="n">
        <x:v>-0.24715579460190595</x:v>
      </x:c>
      <x:c r="L68" s="55" t="n">
        <x:v>0.5421686746987951</x:v>
      </x:c>
      <x:c r="M68" s="50" t="n">
        <x:v>238</x:v>
      </x:c>
      <x:c r="N68" s="50" t="n">
        <x:v>62</x:v>
      </x:c>
      <x:c r="O68" s="57" t="n">
        <x:v>17770.901771700537</x:v>
      </x:c>
      <x:c r="P68" s="56" t="n">
        <x:v>36.59601290037408</x:v>
      </x:c>
    </x:row>
    <x:row r="69">
      <x:c r="A69" s="50" t="str">
        <x:v>strategy</x:v>
      </x:c>
      <x:c r="B69" s="50" t="str">
        <x:v>20+60+120</x:v>
      </x:c>
      <x:c r="C69" s="50" t="n">
        <x:v>3</x:v>
      </x:c>
      <x:c r="D69" s="50" t="n">
        <x:v>10</x:v>
      </x:c>
      <x:c r="E69" s="51" t="b">
        <x:v>0</x:v>
      </x:c>
      <x:c r="F69" s="55" t="n">
        <x:v>0.07337492351314179</x:v>
      </x:c>
      <x:c r="G69" s="55" t="n">
        <x:v>0.01443538319302573</x:v>
      </x:c>
      <x:c r="H69" s="55" t="n">
        <x:v>0.1740450795259789</x:v>
      </x:c>
      <x:c r="I69" s="56" t="n">
        <x:v>0.17027124087583648</x:v>
      </x:c>
      <x:c r="J69" s="56" t="n">
        <x:v>0.08294048434084589</x:v>
      </x:c>
      <x:c r="K69" s="55" t="n">
        <x:v>-0.2489742215969244</x:v>
      </x:c>
      <x:c r="L69" s="55" t="n">
        <x:v>0.5413654618473895</x:v>
      </x:c>
      <x:c r="M69" s="50" t="n">
        <x:v>238</x:v>
      </x:c>
      <x:c r="N69" s="50" t="n">
        <x:v>62</x:v>
      </x:c>
      <x:c r="O69" s="57" t="n">
        <x:v>35208.16996965093</x:v>
      </x:c>
      <x:c r="P69" s="56" t="n">
        <x:v>36.5900740351662</x:v>
      </x:c>
    </x:row>
    <x:row r="70">
      <x:c r="A70" s="50" t="str">
        <x:v>strategy</x:v>
      </x:c>
      <x:c r="B70" s="50" t="str">
        <x:v>20+60+120</x:v>
      </x:c>
      <x:c r="C70" s="50" t="n">
        <x:v>3</x:v>
      </x:c>
      <x:c r="D70" s="50" t="n">
        <x:v>20</x:v>
      </x:c>
      <x:c r="E70" s="51" t="b">
        <x:v>0</x:v>
      </x:c>
      <x:c r="F70" s="55" t="n">
        <x:v>0.03483936499214968</x:v>
      </x:c>
      <x:c r="G70" s="55" t="n">
        <x:v>0.006955843624384839</x:v>
      </x:c>
      <x:c r="H70" s="55" t="n">
        <x:v>0.17403473981449666</x:v>
      </x:c>
      <x:c r="I70" s="56" t="n">
        <x:v>0.12775253049403318</x:v>
      </x:c>
      <x:c r="J70" s="56" t="n">
        <x:v>0.03996813298194982</x:v>
      </x:c>
      <x:c r="K70" s="55" t="n">
        <x:v>-0.25495477038533176</x:v>
      </x:c>
      <x:c r="L70" s="55" t="n">
        <x:v>0.5413654618473895</x:v>
      </x:c>
      <x:c r="M70" s="50" t="n">
        <x:v>238</x:v>
      </x:c>
      <x:c r="N70" s="50" t="n">
        <x:v>62</x:v>
      </x:c>
      <x:c r="O70" s="57" t="n">
        <x:v>69106.94631774502</x:v>
      </x:c>
      <x:c r="P70" s="56" t="n">
        <x:v>36.57851738897877</x:v>
      </x:c>
    </x:row>
    <x:row r="71">
      <x:c r="A71" s="50" t="str">
        <x:v>strategy</x:v>
      </x:c>
      <x:c r="B71" s="50" t="str">
        <x:v>20+60+120</x:v>
      </x:c>
      <x:c r="C71" s="50" t="n">
        <x:v>3</x:v>
      </x:c>
      <x:c r="D71" s="50" t="n">
        <x:v>5</x:v>
      </x:c>
      <x:c r="E71" s="51" t="b">
        <x:v>1</x:v>
      </x:c>
      <x:c r="F71" s="55" t="n">
        <x:v>0.09317174989115351</x:v>
      </x:c>
      <x:c r="G71" s="55" t="n">
        <x:v>0.01819487109745399</x:v>
      </x:c>
      <x:c r="H71" s="55" t="n">
        <x:v>0.17406583546590088</x:v>
      </x:c>
      <x:c r="I71" s="56" t="n">
        <x:v>0.1915214948213238</x:v>
      </x:c>
      <x:c r="J71" s="56" t="n">
        <x:v>0.10452867473248836</x:v>
      </x:c>
      <x:c r="K71" s="55" t="n">
        <x:v>-0.24715579460190595</x:v>
      </x:c>
      <x:c r="L71" s="55" t="n">
        <x:v>0.5421686746987951</x:v>
      </x:c>
      <x:c r="M71" s="50" t="n">
        <x:v>238</x:v>
      </x:c>
      <x:c r="N71" s="50" t="n">
        <x:v>62</x:v>
      </x:c>
      <x:c r="O71" s="57" t="n">
        <x:v>17770.901771700537</x:v>
      </x:c>
      <x:c r="P71" s="56" t="n">
        <x:v>36.59601290037408</x:v>
      </x:c>
    </x:row>
    <x:row r="72">
      <x:c r="A72" s="50" t="str">
        <x:v>strategy</x:v>
      </x:c>
      <x:c r="B72" s="50" t="str">
        <x:v>20+60+120</x:v>
      </x:c>
      <x:c r="C72" s="50" t="n">
        <x:v>3</x:v>
      </x:c>
      <x:c r="D72" s="50" t="n">
        <x:v>10</x:v>
      </x:c>
      <x:c r="E72" s="51" t="b">
        <x:v>1</x:v>
      </x:c>
      <x:c r="F72" s="55" t="n">
        <x:v>0.07337492351314179</x:v>
      </x:c>
      <x:c r="G72" s="55" t="n">
        <x:v>0.01443538319302573</x:v>
      </x:c>
      <x:c r="H72" s="55" t="n">
        <x:v>0.1740450795259789</x:v>
      </x:c>
      <x:c r="I72" s="56" t="n">
        <x:v>0.17027124087583648</x:v>
      </x:c>
      <x:c r="J72" s="56" t="n">
        <x:v>0.08294048434084589</x:v>
      </x:c>
      <x:c r="K72" s="55" t="n">
        <x:v>-0.2489742215969244</x:v>
      </x:c>
      <x:c r="L72" s="55" t="n">
        <x:v>0.5413654618473895</x:v>
      </x:c>
      <x:c r="M72" s="50" t="n">
        <x:v>238</x:v>
      </x:c>
      <x:c r="N72" s="50" t="n">
        <x:v>62</x:v>
      </x:c>
      <x:c r="O72" s="57" t="n">
        <x:v>35208.16996965093</x:v>
      </x:c>
      <x:c r="P72" s="56" t="n">
        <x:v>36.5900740351662</x:v>
      </x:c>
    </x:row>
    <x:row r="73">
      <x:c r="A73" s="50" t="str">
        <x:v>strategy</x:v>
      </x:c>
      <x:c r="B73" s="50" t="str">
        <x:v>20+60+120</x:v>
      </x:c>
      <x:c r="C73" s="50" t="n">
        <x:v>3</x:v>
      </x:c>
      <x:c r="D73" s="50" t="n">
        <x:v>20</x:v>
      </x:c>
      <x:c r="E73" s="51" t="b">
        <x:v>1</x:v>
      </x:c>
      <x:c r="F73" s="55" t="n">
        <x:v>0.03483936499214968</x:v>
      </x:c>
      <x:c r="G73" s="55" t="n">
        <x:v>0.006955843624384839</x:v>
      </x:c>
      <x:c r="H73" s="55" t="n">
        <x:v>0.17403473981449666</x:v>
      </x:c>
      <x:c r="I73" s="56" t="n">
        <x:v>0.12775253049403318</x:v>
      </x:c>
      <x:c r="J73" s="56" t="n">
        <x:v>0.03996813298194982</x:v>
      </x:c>
      <x:c r="K73" s="55" t="n">
        <x:v>-0.25495477038533176</x:v>
      </x:c>
      <x:c r="L73" s="55" t="n">
        <x:v>0.5413654618473895</x:v>
      </x:c>
      <x:c r="M73" s="50" t="n">
        <x:v>238</x:v>
      </x:c>
      <x:c r="N73" s="50" t="n">
        <x:v>62</x:v>
      </x:c>
      <x:c r="O73" s="57" t="n">
        <x:v>69106.94631774502</x:v>
      </x:c>
      <x:c r="P73" s="56" t="n">
        <x:v>36.57851738897877</x:v>
      </x:c>
    </x:row>
    <x:row r="74">
      <x:c r="A74" s="50" t="str">
        <x:v>benchmark</x:v>
      </x:c>
      <x:c r="B74" s="50" t="str">
        <x:v>equal_weight</x:v>
      </x:c>
      <x:c r="C74" s="50"/>
      <x:c r="D74" s="50" t="n">
        <x:v>5</x:v>
      </x:c>
      <x:c r="E74" s="51" t="b">
        <x:v>0</x:v>
      </x:c>
      <x:c r="F74" s="55" t="n">
        <x:v>0.5158824358703373</x:v>
      </x:c>
      <x:c r="G74" s="55" t="n">
        <x:v>0.08784856399803398</x:v>
      </x:c>
      <x:c r="H74" s="55" t="n">
        <x:v>0.12438441057105054</x:v>
      </x:c>
      <x:c r="I74" s="56" t="n">
        <x:v>0.7394782901381266</x:v>
      </x:c>
      <x:c r="J74" s="56" t="n">
        <x:v>0.7062666743743852</x:v>
      </x:c>
      <x:c r="K74" s="55" t="n">
        <x:v>-0.17012577351515779</x:v>
      </x:c>
      <x:c r="L74" s="55" t="n">
        <x:v>0.5477911646586345</x:v>
      </x:c>
      <x:c r="M74" s="50" t="n">
        <x:v>7</x:v>
      </x:c>
      <x:c r="N74" s="50" t="n">
        <x:v>1</x:v>
      </x:c>
      <x:c r="O74" s="57" t="n">
        <x:v>499.75012493753127</x:v>
      </x:c>
      <x:c r="P74" s="56" t="n">
        <x:v>0.9995002498750625</x:v>
      </x:c>
    </x:row>
    <x:row r="75">
      <x:c r="A75" s="50" t="str">
        <x:v>benchmark</x:v>
      </x:c>
      <x:c r="B75" s="50" t="str">
        <x:v>csi300</x:v>
      </x:c>
      <x:c r="C75" s="50"/>
      <x:c r="D75" s="50" t="n">
        <x:v>5</x:v>
      </x:c>
      <x:c r="E75" s="51" t="b">
        <x:v>0</x:v>
      </x:c>
      <x:c r="F75" s="55" t="n">
        <x:v>0.020900412989351747</x:v>
      </x:c>
      <x:c r="G75" s="55" t="n">
        <x:v>0.004195619578889032</x:v>
      </x:c>
      <x:c r="H75" s="55" t="n">
        <x:v>0.1894915077957409</x:v>
      </x:c>
      <x:c r="I75" s="56" t="n">
        <x:v>0.11666807527735122</x:v>
      </x:c>
      <x:c r="J75" s="56" t="n">
        <x:v>0.022141464953730948</x:v>
      </x:c>
      <x:c r="K75" s="55" t="n">
        <x:v>-0.3718083983962872</x:v>
      </x:c>
      <x:c r="L75" s="55" t="n">
        <x:v>0.4771084337349398</x:v>
      </x:c>
      <x:c r="M75" s="50" t="n">
        <x:v>1</x:v>
      </x:c>
      <x:c r="N75" s="50" t="n">
        <x:v>1</x:v>
      </x:c>
      <x:c r="O75" s="57" t="n">
        <x:v>499.7501249375313</x:v>
      </x:c>
      <x:c r="P75" s="56" t="n">
        <x:v>0.9995002498750626</x:v>
      </x:c>
    </x:row>
  </x:sheetData>
  <x:conditionalFormatting sqref="G2:G75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I2:I75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K2:K75">
    <x:cfRule type="colorScale" priority="3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1cb9b79dc6d472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5" hidden="0" customWidth="1"/>
    <x:col min="3" max="3" width="35" hidden="0" customWidth="1"/>
    <x:col min="4" max="4" width="35" hidden="0" customWidth="1"/>
  </x:cols>
  <x:sheetData>
    <x:row r="1" ht="28" customHeight="1">
      <x:c r="A1" s="58" t="str">
        <x:v>怎样读这些指标</x:v>
      </x:c>
      <x:c r="B1" s="58"/>
      <x:c r="C1" s="58"/>
      <x:c r="D1" s="58"/>
    </x:row>
    <x:row r="3">
      <x:c r="A3" s="7" t="str">
        <x:v>指标</x:v>
      </x:c>
      <x:c r="B3" s="7" t="str">
        <x:v>白话含义</x:v>
      </x:c>
      <x:c r="C3" s="7" t="str">
        <x:v>通常怎么看</x:v>
      </x:c>
      <x:c r="D3" s="7" t="str">
        <x:v>本项目注意事项</x:v>
      </x:c>
    </x:row>
    <x:row r="4">
      <x:c r="A4" s="43" t="str">
        <x:v>累计收益</x:v>
      </x:c>
      <x:c r="B4" s="43" t="str">
        <x:v>从第一天到最后一天一共赚或亏多少</x:v>
      </x:c>
      <x:c r="C4" s="43" t="str">
        <x:v>正数是盈利，负数是亏损</x:v>
      </x:c>
      <x:c r="D4" s="43" t="str">
        <x:v>不同样本长度不能只比较累计收益</x:v>
      </x:c>
    </x:row>
    <x:row r="5">
      <x:c r="A5" s="43" t="str">
        <x:v>年化收益</x:v>
      </x:c>
      <x:c r="B5" s="43" t="str">
        <x:v>把整个期间折算成平均每年复合收益</x:v>
      </x:c>
      <x:c r="C5" s="43" t="str">
        <x:v>越高越好，但要同时看风险</x:v>
      </x:c>
      <x:c r="D5" s="43" t="str">
        <x:v>它不是每年都能取得的固定收益</x:v>
      </x:c>
    </x:row>
    <x:row r="6">
      <x:c r="A6" s="43" t="str">
        <x:v>年化波动</x:v>
      </x:c>
      <x:c r="B6" s="43" t="str">
        <x:v>日收益上下波动的幅度</x:v>
      </x:c>
      <x:c r="C6" s="43" t="str">
        <x:v>越高代表净值通常越不稳定</x:v>
      </x:c>
      <x:c r="D6" s="43" t="str">
        <x:v>不能单独说明好坏</x:v>
      </x:c>
    </x:row>
    <x:row r="7">
      <x:c r="A7" s="43" t="str">
        <x:v>夏普</x:v>
      </x:c>
      <x:c r="B7" s="43" t="str">
        <x:v>每承担一单位波动获得多少平均超额收益</x:v>
      </x:c>
      <x:c r="C7" s="43" t="str">
        <x:v>同口径下越高越好；负数说明风险没有换来正收益</x:v>
      </x:c>
      <x:c r="D7" s="43" t="str">
        <x:v>本项目无风险利率按0</x:v>
      </x:c>
    </x:row>
    <x:row r="8">
      <x:c r="A8" s="43" t="str">
        <x:v>最大回撤</x:v>
      </x:c>
      <x:c r="B8" s="43" t="str">
        <x:v>历史高点到后续最低点最多跌多少</x:v>
      </x:c>
      <x:c r="C8" s="43" t="str">
        <x:v>越接近0越好</x:v>
      </x:c>
      <x:c r="D8" s="43" t="str">
        <x:v>-30%表示100万元可能一度跌至约70万元</x:v>
      </x:c>
    </x:row>
    <x:row r="9">
      <x:c r="A9" s="43" t="str">
        <x:v>Top N</x:v>
      </x:c>
      <x:c r="B9" s="43" t="str">
        <x:v>每月排名后持有几只ETF</x:v>
      </x:c>
      <x:c r="C9" s="43" t="str">
        <x:v>数量少更集中，数量多更分散</x:v>
      </x:c>
      <x:c r="D9" s="43" t="str">
        <x:v>与等权基准比较时也含集中度差异</x:v>
      </x:c>
    </x:row>
    <x:row r="10">
      <x:c r="A10" s="43" t="str">
        <x:v>现金规则</x:v>
      </x:c>
      <x:c r="B10" s="43" t="str">
        <x:v>全部有效动量都为负时持有现金</x:v>
      </x:c>
      <x:c r="C10" s="43" t="str">
        <x:v>用于观察下跌期防守效果</x:v>
      </x:c>
      <x:c r="D10" s="43" t="str">
        <x:v>本样本内该条件没有触发，因此结果相同</x:v>
      </x:c>
    </x:row>
    <x:row r="12" ht="30" customHeight="1">
      <x:c r="A12" s="10" t="str">
        <x:v>建议阅读顺序：先看年化收益与最大回撤，再看夏普，最后检查参数稍有变化时结论是否仍成立。</x:v>
      </x:c>
      <x:c r="B12" s="10"/>
      <x:c r="C12" s="10"/>
      <x:c r="D12" s="10"/>
    </x:row>
    <x:row r="14">
      <x:c r="A14" s="60" t="str">
        <x:v>数据来源：东方财富公开日线，前复权；快照 SHA256：5e48ba89586b8c5d3c616c5f32fb47370955af885f0673034d0d641ca0a7f951</x:v>
      </x:c>
      <x:c r="B14" s="60"/>
      <x:c r="C14" s="60"/>
      <x:c r="D14" s="60"/>
    </x:row>
  </x:sheetData>
  <x:mergeCells>
    <x:mergeCell ref="A1:D1"/>
    <x:mergeCell ref="A12:D12"/>
    <x:mergeCell ref="A14:D1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3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3" hidden="0" customWidth="1"/>
    <x:col min="8" max="8" width="38" hidden="0" customWidth="1"/>
  </x:cols>
  <x:sheetData>
    <x:row r="1" ht="30" customHeight="1">
      <x:c r="A1" s="84" t="str">
        <x:v>样本外验证：研究期高分没有延续</x:v>
      </x:c>
      <x:c r="B1" s="84"/>
      <x:c r="C1" s="84"/>
      <x:c r="D1" s="84"/>
      <x:c r="E1" s="84"/>
      <x:c r="F1" s="84"/>
      <x:c r="G1" s="84"/>
      <x:c r="H1" s="84"/>
      <x:c r="I1" s="32"/>
      <x:c r="J1" s="32"/>
      <x:c r="K1" s="32"/>
      <x:c r="L1" s="32"/>
      <x:c r="M1" s="32"/>
      <x:c r="N1" s="32"/>
      <x:c r="O1" s="32"/>
      <x:c r="P1" s="32"/>
      <x:c r="Q1" s="32"/>
    </x:row>
    <x:row r="2" ht="23" customHeight="1">
      <x:c r="A2" s="85" t="str">
        <x:v>研究期 2021-08-02 至 2023-12-29｜验证期 2024-01-02 至 2026-09-17｜固定成本 5 bps</x:v>
      </x:c>
      <x:c r="B2" s="85"/>
      <x:c r="C2" s="85"/>
      <x:c r="D2" s="85"/>
      <x:c r="E2" s="85"/>
      <x:c r="F2" s="85"/>
      <x:c r="G2" s="85"/>
      <x:c r="H2" s="85"/>
      <x:c r="I2" s="32"/>
      <x:c r="J2" s="32"/>
      <x:c r="K2" s="32"/>
      <x:c r="L2" s="32"/>
      <x:c r="M2" s="32"/>
      <x:c r="N2" s="32"/>
      <x:c r="O2" s="32"/>
      <x:c r="P2" s="32"/>
      <x:c r="Q2" s="32"/>
    </x:row>
    <x:row r="3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</x:row>
    <x:row r="4">
      <x:c r="A4" s="86" t="str">
        <x:v>结论</x:v>
      </x:c>
      <x:c r="B4" s="86"/>
      <x:c r="C4" s="86"/>
      <x:c r="D4" s="86"/>
      <x:c r="E4" s="86"/>
      <x:c r="F4" s="86"/>
      <x:c r="G4" s="86"/>
      <x:c r="H4" s="86"/>
      <x:c r="I4" s="32"/>
      <x:c r="J4" s="32"/>
      <x:c r="K4" s="32"/>
      <x:c r="L4" s="32"/>
      <x:c r="M4" s="32"/>
      <x:c r="N4" s="32"/>
      <x:c r="O4" s="32"/>
      <x:c r="P4" s="32"/>
      <x:c r="Q4" s="32"/>
    </x:row>
    <x:row r="5" ht="34" customHeight="1">
      <x:c r="A5" s="70" t="str">
        <x:v>研究期选择了 120 日、Top 1，研究期年化 23.35%、夏普 1.26；从现金开始进入验证期后，年化 -9.30%、夏普 -0.15、最大回撤 -43.99%。验证期等权持有年化 18.97%。研究期最优参数没有延续。</x:v>
      </x:c>
      <x:c r="B5" s="70"/>
      <x:c r="C5" s="70"/>
      <x:c r="D5" s="70"/>
      <x:c r="E5" s="70"/>
      <x:c r="F5" s="70"/>
      <x:c r="G5" s="70"/>
      <x:c r="H5" s="70"/>
      <x:c r="I5" s="32"/>
      <x:c r="J5" s="32"/>
      <x:c r="K5" s="32"/>
      <x:c r="L5" s="32"/>
      <x:c r="M5" s="32"/>
      <x:c r="N5" s="32"/>
      <x:c r="O5" s="32"/>
      <x:c r="P5" s="32"/>
      <x:c r="Q5" s="32"/>
    </x:row>
    <x:row r="6" ht="34" customHeight="1">
      <x:c r="A6" s="70"/>
      <x:c r="B6" s="70"/>
      <x:c r="C6" s="70"/>
      <x:c r="D6" s="70"/>
      <x:c r="E6" s="70"/>
      <x:c r="F6" s="70"/>
      <x:c r="G6" s="70"/>
      <x:c r="H6" s="70"/>
      <x:c r="I6" s="32"/>
      <x:c r="J6" s="32"/>
      <x:c r="K6" s="32"/>
      <x:c r="L6" s="32"/>
      <x:c r="M6" s="32"/>
      <x:c r="N6" s="32"/>
      <x:c r="O6" s="32"/>
      <x:c r="P6" s="32"/>
      <x:c r="Q6" s="32"/>
    </x:row>
    <x:row r="7">
      <x:c r="A7" s="32"/>
      <x:c r="B7" s="32"/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2"/>
    </x:row>
    <x:row r="8" ht="30" customHeight="1">
      <x:c r="A8" s="87" t="str">
        <x:v>方案</x:v>
      </x:c>
      <x:c r="B8" s="87" t="str">
        <x:v>研究期年化</x:v>
      </x:c>
      <x:c r="C8" s="87" t="str">
        <x:v>验证期年化</x:v>
      </x:c>
      <x:c r="D8" s="87" t="str">
        <x:v>研究期夏普</x:v>
      </x:c>
      <x:c r="E8" s="87" t="str">
        <x:v>验证期夏普</x:v>
      </x:c>
      <x:c r="F8" s="87" t="str">
        <x:v>验证期最大回撤</x:v>
      </x:c>
      <x:c r="G8" s="87" t="str">
        <x:v>选择身份</x:v>
      </x:c>
      <x:c r="H8" s="87" t="str">
        <x:v>解释</x:v>
      </x:c>
      <x:c r="I8" s="32"/>
      <x:c r="J8" s="32"/>
      <x:c r="K8" s="32"/>
      <x:c r="L8" s="32"/>
      <x:c r="M8" s="32"/>
      <x:c r="N8" s="32"/>
      <x:c r="O8" s="32"/>
      <x:c r="P8" s="32"/>
      <x:c r="Q8" s="32"/>
    </x:row>
    <x:row r="9">
      <x:c r="A9" s="88" t="str">
        <x:v>研究期选中参数</x:v>
      </x:c>
      <x:c r="B9" s="89" t="n">
        <x:v>0.23350112796942635</x:v>
      </x:c>
      <x:c r="C9" s="89" t="n">
        <x:v>-0.09300397436551966</x:v>
      </x:c>
      <x:c r="D9" s="90" t="n">
        <x:v>1.2622875990378497</x:v>
      </x:c>
      <x:c r="E9" s="90" t="n">
        <x:v>-0.1493808133814841</x:v>
      </x:c>
      <x:c r="F9" s="89" t="n">
        <x:v>-0.4399485606506347</x:v>
      </x:c>
      <x:c r="G9" s="88" t="str">
        <x:v>可验证</x:v>
      </x:c>
      <x:c r="H9" s="91" t="str">
        <x:v>只根据研究期选择，验证期结果可信</x:v>
      </x:c>
      <x:c r="I9" s="32"/>
      <x:c r="J9" s="32"/>
      <x:c r="K9" s="32"/>
      <x:c r="L9" s="32"/>
      <x:c r="M9" s="32"/>
      <x:c r="N9" s="32"/>
      <x:c r="O9" s="32"/>
      <x:c r="P9" s="32"/>
      <x:c r="Q9" s="32"/>
    </x:row>
    <x:row r="10">
      <x:c r="A10" s="40" t="str">
        <x:v>原始基础参数</x:v>
      </x:c>
      <x:c r="B10" s="41" t="n">
        <x:v>-0.07748965562865251</x:v>
      </x:c>
      <x:c r="C10" s="41" t="n">
        <x:v>-0.03476953901478175</x:v>
      </x:c>
      <x:c r="D10" s="42" t="n">
        <x:v>-0.5248035968988026</x:v>
      </x:c>
      <x:c r="E10" s="42" t="n">
        <x:v>-0.01531845762783214</x:v>
      </x:c>
      <x:c r="F10" s="41" t="n">
        <x:v>-0.306185973085229</x:v>
      </x:c>
      <x:c r="G10" s="40" t="str">
        <x:v>预先设定</x:v>
      </x:c>
      <x:c r="H10" s="43" t="str">
        <x:v>20/60/120 综合、Top 2</x:v>
      </x:c>
      <x:c r="I10" s="32"/>
      <x:c r="J10" s="32"/>
      <x:c r="K10" s="32"/>
      <x:c r="L10" s="32"/>
      <x:c r="M10" s="32"/>
      <x:c r="N10" s="32"/>
      <x:c r="O10" s="32"/>
      <x:c r="P10" s="32"/>
      <x:c r="Q10" s="32"/>
    </x:row>
    <x:row r="11">
      <x:c r="A11" s="40" t="str">
        <x:v>验证期事后最好</x:v>
      </x:c>
      <x:c r="B11" s="41" t="n">
        <x:v>-0.02973868810672997</x:v>
      </x:c>
      <x:c r="C11" s="41" t="n">
        <x:v>0.15961320729754758</x:v>
      </x:c>
      <x:c r="D11" s="42" t="n">
        <x:v>-0.12414533206442573</x:v>
      </x:c>
      <x:c r="E11" s="42" t="n">
        <x:v>0.7513481708223624</x:v>
      </x:c>
      <x:c r="F11" s="41" t="n">
        <x:v>-0.2860704171968296</x:v>
      </x:c>
      <x:c r="G11" s="40" t="str">
        <x:v>不可选择</x:v>
      </x:c>
      <x:c r="H11" s="43" t="str">
        <x:v>20 日、Top 2；看过验证期后才知道</x:v>
      </x:c>
      <x:c r="I11" s="32"/>
      <x:c r="J11" s="32"/>
      <x:c r="K11" s="32"/>
      <x:c r="L11" s="32"/>
      <x:c r="M11" s="32"/>
      <x:c r="N11" s="32"/>
      <x:c r="O11" s="32"/>
      <x:c r="P11" s="32"/>
      <x:c r="Q11" s="32"/>
    </x:row>
    <x:row r="12">
      <x:c r="A12" s="92" t="str">
        <x:v>7 ETF 等权持有</x:v>
      </x:c>
      <x:c r="B12" s="93" t="n">
        <x:v>-0.013747100056093364</x:v>
      </x:c>
      <x:c r="C12" s="93" t="n">
        <x:v>0.1897479167984244</x:v>
      </x:c>
      <x:c r="D12" s="94" t="n">
        <x:v>-0.07894000952192166</x:v>
      </x:c>
      <x:c r="E12" s="94" t="n">
        <x:v>1.1712642638757826</x:v>
      </x:c>
      <x:c r="F12" s="93" t="n">
        <x:v>-0.11223563311727358</x:v>
      </x:c>
      <x:c r="G12" s="92" t="str">
        <x:v>基准</x:v>
      </x:c>
      <x:c r="H12" s="95" t="str">
        <x:v>验证期收益和风险表现均优于选中策略</x:v>
      </x:c>
      <x:c r="I12" s="32"/>
      <x:c r="J12" s="32"/>
      <x:c r="K12" s="32"/>
      <x:c r="L12" s="32"/>
      <x:c r="M12" s="32"/>
      <x:c r="N12" s="32"/>
      <x:c r="O12" s="32"/>
      <x:c r="P12" s="32"/>
      <x:c r="Q12" s="32"/>
    </x:row>
    <x:row r="13">
      <x:c r="A13" s="40" t="str">
        <x:v>沪深300持有</x:v>
      </x:c>
      <x:c r="B13" s="41" t="n">
        <x:v>-0.1288845598046533</x:v>
      </x:c>
      <x:c r="C13" s="41" t="n">
        <x:v>0.13935918406869496</x:v>
      </x:c>
      <x:c r="D13" s="42" t="n">
        <x:v>-0.675930624679016</x:v>
      </x:c>
      <x:c r="E13" s="42" t="n">
        <x:v>0.7597413466864498</x:v>
      </x:c>
      <x:c r="F13" s="41" t="n">
        <x:v>-0.1706736491311598</x:v>
      </x:c>
      <x:c r="G13" s="40" t="str">
        <x:v>基准</x:v>
      </x:c>
      <x:c r="H13" s="43" t="str">
        <x:v>A股权益市场参照</x:v>
      </x:c>
      <x:c r="I13" s="32"/>
      <x:c r="J13" s="32"/>
      <x:c r="K13" s="32"/>
      <x:c r="L13" s="32"/>
      <x:c r="M13" s="32"/>
      <x:c r="N13" s="32"/>
      <x:c r="O13" s="32"/>
      <x:c r="P13" s="32"/>
      <x:c r="Q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</x:row>
    <x:row r="16">
      <x:c r="A16" s="87" t="str">
        <x:v>参数组合</x:v>
      </x:c>
      <x:c r="B16" s="87" t="str">
        <x:v>研究期年化</x:v>
      </x:c>
      <x:c r="C16" s="87" t="str">
        <x:v>验证期年化</x:v>
      </x:c>
      <x:c r="D16" s="87" t="str">
        <x:v>研究期夏普</x:v>
      </x:c>
      <x:c r="E16" s="87" t="str">
        <x:v>验证期夏普</x:v>
      </x:c>
      <x:c r="F16" s="87" t="str">
        <x:v>研究期排名</x:v>
      </x:c>
      <x:c r="G16" s="87" t="str">
        <x:v>验证期排名</x:v>
      </x:c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</x:row>
    <x:row r="17">
      <x:c r="A17" s="96" t="str">
        <x:v>120 / Top 1</x:v>
      </x:c>
      <x:c r="B17" s="97" t="n">
        <x:v>0.23350112796942635</x:v>
      </x:c>
      <x:c r="C17" s="97" t="n">
        <x:v>-0.09300397436551966</x:v>
      </x:c>
      <x:c r="D17" s="98" t="n">
        <x:v>1.2622875990378497</x:v>
      </x:c>
      <x:c r="E17" s="98" t="n">
        <x:v>-0.1493808133814841</x:v>
      </x:c>
      <x:c r="F17" s="96" t="n">
        <x:v>1</x:v>
      </x:c>
      <x:c r="G17" s="96" t="n">
        <x:v>12</x:v>
      </x:c>
      <x:c r="H17" s="32"/>
      <x:c r="I17" s="32"/>
      <x:c r="J17" s="32"/>
      <x:c r="K17" s="32"/>
      <x:c r="L17" s="32"/>
      <x:c r="M17" s="32"/>
      <x:c r="N17" s="32"/>
      <x:c r="O17" s="32"/>
      <x:c r="P17" s="32"/>
      <x:c r="Q17" s="32"/>
    </x:row>
    <x:row r="18">
      <x:c r="A18" s="96" t="str">
        <x:v>120 / Top 3</x:v>
      </x:c>
      <x:c r="B18" s="97" t="n">
        <x:v>0.015681305043091287</x:v>
      </x:c>
      <x:c r="C18" s="97" t="n">
        <x:v>0.0735893780737753</x:v>
      </x:c>
      <x:c r="D18" s="98" t="n">
        <x:v>0.20367868002767037</x:v>
      </x:c>
      <x:c r="E18" s="98" t="n">
        <x:v>0.4381584778861275</x:v>
      </x:c>
      <x:c r="F18" s="96" t="n">
        <x:v>2</x:v>
      </x:c>
      <x:c r="G18" s="96" t="n">
        <x:v>5</x:v>
      </x:c>
      <x:c r="H18" s="32"/>
      <x:c r="I18" s="32"/>
      <x:c r="J18" s="32"/>
      <x:c r="K18" s="32"/>
      <x:c r="L18" s="32"/>
      <x:c r="M18" s="32"/>
      <x:c r="N18" s="32"/>
      <x:c r="O18" s="32"/>
      <x:c r="P18" s="32"/>
      <x:c r="Q18" s="32"/>
    </x:row>
    <x:row r="19">
      <x:c r="A19" s="96" t="str">
        <x:v>20 / Top 3</x:v>
      </x:c>
      <x:c r="B19" s="97" t="n">
        <x:v>-0.0013537841066102452</x:v>
      </x:c>
      <x:c r="C19" s="97" t="n">
        <x:v>0.10034896290029804</x:v>
      </x:c>
      <x:c r="D19" s="98" t="n">
        <x:v>0.0487601520610881</x:v>
      </x:c>
      <x:c r="E19" s="98" t="n">
        <x:v>0.578945459432671</x:v>
      </x:c>
      <x:c r="F19" s="96" t="n">
        <x:v>3</x:v>
      </x:c>
      <x:c r="G19" s="96" t="n">
        <x:v>2</x:v>
      </x:c>
      <x:c r="H19" s="32"/>
      <x:c r="I19" s="32"/>
      <x:c r="J19" s="32"/>
      <x:c r="K19" s="32"/>
      <x:c r="L19" s="32"/>
      <x:c r="M19" s="32"/>
      <x:c r="N19" s="32"/>
      <x:c r="O19" s="32"/>
      <x:c r="P19" s="32"/>
      <x:c r="Q19" s="32"/>
    </x:row>
    <x:row r="20">
      <x:c r="A20" s="96" t="str">
        <x:v>120 / Top 2</x:v>
      </x:c>
      <x:c r="B20" s="97" t="n">
        <x:v>-0.011948543641580933</x:v>
      </x:c>
      <x:c r="C20" s="97" t="n">
        <x:v>0.016048514167718464</x:v>
      </x:c>
      <x:c r="D20" s="98" t="n">
        <x:v>-0.03863237881554422</x:v>
      </x:c>
      <x:c r="E20" s="98" t="n">
        <x:v>0.1893971918438046</x:v>
      </x:c>
      <x:c r="F20" s="96" t="n">
        <x:v>4</x:v>
      </x:c>
      <x:c r="G20" s="96" t="n">
        <x:v>10</x:v>
      </x:c>
      <x:c r="H20" s="32"/>
      <x:c r="I20" s="32"/>
      <x:c r="J20" s="32"/>
      <x:c r="K20" s="32"/>
      <x:c r="L20" s="32"/>
      <x:c r="M20" s="32"/>
      <x:c r="N20" s="32"/>
      <x:c r="O20" s="32"/>
      <x:c r="P20" s="32"/>
      <x:c r="Q20" s="32"/>
    </x:row>
    <x:row r="21">
      <x:c r="A21" s="96" t="str">
        <x:v>20 / Top 2</x:v>
      </x:c>
      <x:c r="B21" s="97" t="n">
        <x:v>-0.02973868810672997</x:v>
      </x:c>
      <x:c r="C21" s="97" t="n">
        <x:v>0.15961320729754758</x:v>
      </x:c>
      <x:c r="D21" s="98" t="n">
        <x:v>-0.12414533206442573</x:v>
      </x:c>
      <x:c r="E21" s="98" t="n">
        <x:v>0.7513481708223624</x:v>
      </x:c>
      <x:c r="F21" s="96" t="n">
        <x:v>5</x:v>
      </x:c>
      <x:c r="G21" s="96" t="n">
        <x:v>1</x:v>
      </x:c>
      <x:c r="H21" s="32"/>
      <x:c r="I21" s="32"/>
      <x:c r="J21" s="32"/>
      <x:c r="K21" s="32"/>
      <x:c r="L21" s="32"/>
      <x:c r="M21" s="32"/>
      <x:c r="N21" s="32"/>
      <x:c r="O21" s="32"/>
      <x:c r="P21" s="32"/>
      <x:c r="Q21" s="32"/>
    </x:row>
    <x:row r="22">
      <x:c r="A22" s="96" t="str">
        <x:v>20+60+120 / Top 3</x:v>
      </x:c>
      <x:c r="B22" s="97" t="n">
        <x:v>-0.03382853046255263</x:v>
      </x:c>
      <x:c r="C22" s="97" t="n">
        <x:v>0.06725471016418871</x:v>
      </x:c>
      <x:c r="D22" s="98" t="n">
        <x:v>-0.25413589989217594</x:v>
      </x:c>
      <x:c r="E22" s="98" t="n">
        <x:v>0.41133831957647965</x:v>
      </x:c>
      <x:c r="F22" s="96" t="n">
        <x:v>6</x:v>
      </x:c>
      <x:c r="G22" s="96" t="n">
        <x:v>6</x:v>
      </x:c>
      <x:c r="H22" s="32"/>
      <x:c r="I22" s="32"/>
      <x:c r="J22" s="32"/>
      <x:c r="K22" s="32"/>
      <x:c r="L22" s="32"/>
      <x:c r="M22" s="32"/>
      <x:c r="N22" s="32"/>
      <x:c r="O22" s="32"/>
      <x:c r="P22" s="32"/>
      <x:c r="Q22" s="32"/>
    </x:row>
    <x:row r="23">
      <x:c r="A23" s="96" t="str">
        <x:v>20+60+120 / Top 2</x:v>
      </x:c>
      <x:c r="B23" s="97" t="n">
        <x:v>-0.07748965562865251</x:v>
      </x:c>
      <x:c r="C23" s="97" t="n">
        <x:v>-0.03476953901478175</x:v>
      </x:c>
      <x:c r="D23" s="98" t="n">
        <x:v>-0.5248035968988026</x:v>
      </x:c>
      <x:c r="E23" s="98" t="n">
        <x:v>-0.01531845762783214</x:v>
      </x:c>
      <x:c r="F23" s="96" t="n">
        <x:v>7</x:v>
      </x:c>
      <x:c r="G23" s="96" t="n">
        <x:v>11</x:v>
      </x:c>
      <x:c r="H23" s="32"/>
      <x:c r="I23" s="32"/>
      <x:c r="J23" s="32"/>
      <x:c r="K23" s="32"/>
      <x:c r="L23" s="32"/>
      <x:c r="M23" s="32"/>
      <x:c r="N23" s="32"/>
      <x:c r="O23" s="32"/>
      <x:c r="P23" s="32"/>
      <x:c r="Q23" s="32"/>
    </x:row>
    <x:row r="24">
      <x:c r="A24" s="96" t="str">
        <x:v>60 / Top 3</x:v>
      </x:c>
      <x:c r="B24" s="97" t="n">
        <x:v>-0.07099205477289405</x:v>
      </x:c>
      <x:c r="C24" s="97" t="n">
        <x:v>0.05329108285334594</x:v>
      </x:c>
      <x:c r="D24" s="98" t="n">
        <x:v>-0.5533249288445464</x:v>
      </x:c>
      <x:c r="E24" s="98" t="n">
        <x:v>0.35642700173797276</x:v>
      </x:c>
      <x:c r="F24" s="96" t="n">
        <x:v>8</x:v>
      </x:c>
      <x:c r="G24" s="96" t="n">
        <x:v>8</x:v>
      </x:c>
      <x:c r="H24" s="32"/>
      <x:c r="I24" s="32"/>
      <x:c r="J24" s="32"/>
      <x:c r="K24" s="32"/>
      <x:c r="L24" s="32"/>
      <x:c r="M24" s="32"/>
      <x:c r="N24" s="32"/>
      <x:c r="O24" s="32"/>
      <x:c r="P24" s="32"/>
      <x:c r="Q24" s="32"/>
    </x:row>
    <x:row r="25">
      <x:c r="A25" s="96" t="str">
        <x:v>20+60+120 / Top 1</x:v>
      </x:c>
      <x:c r="B25" s="97" t="n">
        <x:v>-0.1332208593232972</x:v>
      </x:c>
      <x:c r="C25" s="97" t="n">
        <x:v>0.06928191890381497</x:v>
      </x:c>
      <x:c r="D25" s="98" t="n">
        <x:v>-0.6821068418070307</x:v>
      </x:c>
      <x:c r="E25" s="98" t="n">
        <x:v>0.37271789534338334</x:v>
      </x:c>
      <x:c r="F25" s="96" t="n">
        <x:v>9</x:v>
      </x:c>
      <x:c r="G25" s="96" t="n">
        <x:v>7</x:v>
      </x:c>
      <x:c r="H25" s="32"/>
      <x:c r="I25" s="32"/>
      <x:c r="J25" s="32"/>
      <x:c r="K25" s="32"/>
      <x:c r="L25" s="32"/>
      <x:c r="M25" s="32"/>
      <x:c r="N25" s="32"/>
      <x:c r="O25" s="32"/>
      <x:c r="P25" s="32"/>
      <x:c r="Q25" s="32"/>
    </x:row>
    <x:row r="26">
      <x:c r="A26" s="96" t="str">
        <x:v>20 / Top 1</x:v>
      </x:c>
      <x:c r="B26" s="97" t="n">
        <x:v>-0.1587131319934273</x:v>
      </x:c>
      <x:c r="C26" s="97" t="n">
        <x:v>0.11232877294558286</x:v>
      </x:c>
      <x:c r="D26" s="98" t="n">
        <x:v>-0.7900116860843812</x:v>
      </x:c>
      <x:c r="E26" s="98" t="n">
        <x:v>0.5086173974959122</x:v>
      </x:c>
      <x:c r="F26" s="96" t="n">
        <x:v>10</x:v>
      </x:c>
      <x:c r="G26" s="96" t="n">
        <x:v>4</x:v>
      </x:c>
      <x:c r="H26" s="32"/>
      <x:c r="I26" s="32"/>
      <x:c r="J26" s="32"/>
      <x:c r="K26" s="32"/>
      <x:c r="L26" s="32"/>
      <x:c r="M26" s="32"/>
      <x:c r="N26" s="32"/>
      <x:c r="O26" s="32"/>
      <x:c r="P26" s="32"/>
      <x:c r="Q26" s="32"/>
    </x:row>
    <x:row r="27">
      <x:c r="A27" s="96" t="str">
        <x:v>60 / Top 2</x:v>
      </x:c>
      <x:c r="B27" s="97" t="n">
        <x:v>-0.1400030983294146</x:v>
      </x:c>
      <x:c r="C27" s="97" t="n">
        <x:v>0.04180049405197406</x:v>
      </x:c>
      <x:c r="D27" s="98" t="n">
        <x:v>-0.9858913060885438</x:v>
      </x:c>
      <x:c r="E27" s="98" t="n">
        <x:v>0.29235005093822697</x:v>
      </x:c>
      <x:c r="F27" s="96" t="n">
        <x:v>11</x:v>
      </x:c>
      <x:c r="G27" s="96" t="n">
        <x:v>9</x:v>
      </x:c>
      <x:c r="H27" s="32"/>
      <x:c r="I27" s="32"/>
      <x:c r="J27" s="32"/>
      <x:c r="K27" s="32"/>
      <x:c r="L27" s="32"/>
      <x:c r="M27" s="32"/>
      <x:c r="N27" s="32"/>
      <x:c r="O27" s="32"/>
      <x:c r="P27" s="32"/>
      <x:c r="Q27" s="32"/>
    </x:row>
    <x:row r="28">
      <x:c r="A28" s="96" t="str">
        <x:v>60 / Top 1</x:v>
      </x:c>
      <x:c r="B28" s="97" t="n">
        <x:v>-0.20237419417112845</x:v>
      </x:c>
      <x:c r="C28" s="97" t="n">
        <x:v>0.1364062502150145</x:v>
      </x:c>
      <x:c r="D28" s="98" t="n">
        <x:v>-1.151865347711366</x:v>
      </x:c>
      <x:c r="E28" s="98" t="n">
        <x:v>0.5595327681066248</x:v>
      </x:c>
      <x:c r="F28" s="96" t="n">
        <x:v>12</x:v>
      </x:c>
      <x:c r="G28" s="96" t="n">
        <x:v>3</x:v>
      </x:c>
      <x:c r="H28" s="32"/>
      <x:c r="I28" s="32"/>
      <x:c r="J28" s="32"/>
      <x:c r="K28" s="32"/>
      <x:c r="L28" s="32"/>
      <x:c r="M28" s="32"/>
      <x:c r="N28" s="32"/>
      <x:c r="O28" s="32"/>
      <x:c r="P28" s="32"/>
      <x:c r="Q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  <x:c r="N29" s="32"/>
      <x:c r="O29" s="32"/>
      <x:c r="P29" s="32"/>
      <x:c r="Q29" s="32"/>
    </x:row>
    <x:row r="30" ht="32" customHeight="1">
      <x:c r="A30" s="99" t="str">
        <x:v>研究期与验证期的夏普排名相关系数为 -0.13。排名接近无关且方向略相反，参数稳定性较弱。验证期 12 组中有 10 组正收益，但 0 组超过等权基准。</x:v>
      </x:c>
      <x:c r="B30" s="99"/>
      <x:c r="C30" s="99"/>
      <x:c r="D30" s="99"/>
      <x:c r="E30" s="99"/>
      <x:c r="F30" s="99"/>
      <x:c r="G30" s="99"/>
      <x:c r="H30" s="99"/>
      <x:c r="I30" s="32"/>
      <x:c r="J30" s="32"/>
      <x:c r="K30" s="32"/>
      <x:c r="L30" s="32"/>
      <x:c r="M30" s="32"/>
      <x:c r="N30" s="32"/>
      <x:c r="O30" s="32"/>
      <x:c r="P30" s="32"/>
      <x:c r="Q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  <x:c r="N31" s="32"/>
      <x:c r="O31" s="32"/>
      <x:c r="P31" s="32"/>
      <x:c r="Q31" s="32"/>
    </x:row>
    <x:row r="32">
      <x:c r="A32" s="100" t="str">
        <x:v>数据来源：同一东方财富前复权快照，SHA256 5e48ba89586b8c5d3c616c5f32fb47370955af885f0673034d0d641ca0a7f951。验证期结束前不可使用“验证期事后最好”参数。</x:v>
      </x:c>
      <x:c r="B32" s="100"/>
      <x:c r="C32" s="100"/>
      <x:c r="D32" s="100"/>
      <x:c r="E32" s="100"/>
      <x:c r="F32" s="100"/>
      <x:c r="G32" s="100"/>
      <x:c r="H32" s="100"/>
      <x:c r="I32" s="32"/>
      <x:c r="J32" s="32"/>
      <x:c r="K32" s="32"/>
      <x:c r="L32" s="32"/>
      <x:c r="M32" s="32"/>
      <x:c r="N32" s="32"/>
      <x:c r="O32" s="32"/>
      <x:c r="P32" s="32"/>
      <x:c r="Q32" s="32"/>
    </x:row>
  </x:sheetData>
  <x:mergeCells>
    <x:mergeCell ref="A1:H1"/>
    <x:mergeCell ref="A2:H2"/>
    <x:mergeCell ref="A4:H4"/>
    <x:mergeCell ref="A5:H6"/>
    <x:mergeCell ref="A30:H30"/>
    <x:mergeCell ref="A32:H32"/>
  </x:mergeCells>
  <x:conditionalFormatting sqref="B17:B28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C17:C28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D17:D28">
    <x:cfRule type="colorScale" priority="3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E17:E28">
    <x:cfRule type="colorScale" priority="4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drawing xmlns:r="http://schemas.openxmlformats.org/officeDocument/2006/relationships" r:id="R81d8ca3566c74e45"/>
</x:worksheet>
</file>

<file path=xl/worksheets/sheet5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4" hidden="0" customWidth="1"/>
    <x:col min="6" max="6" width="3" hidden="0" customWidth="1"/>
    <x:col min="7" max="7" width="15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30" customHeight="1">
      <x:c r="A1" s="126" t="str">
        <x:v>验证期失效归因：集中持仓造成主要亏损</x:v>
      </x:c>
      <x:c r="B1" s="126"/>
      <x:c r="C1" s="126"/>
      <x:c r="D1" s="126"/>
      <x:c r="E1" s="126"/>
      <x:c r="F1" s="126"/>
      <x:c r="G1" s="126"/>
      <x:c r="H1" s="126"/>
      <x:c r="I1" s="32"/>
      <x:c r="J1" s="32"/>
      <x:c r="K1" s="32"/>
      <x:c r="L1" s="32"/>
      <x:c r="M1" s="32"/>
      <x:c r="N1" s="32"/>
    </x:row>
    <x:row r="2" ht="23" customHeight="1">
      <x:c r="A2" s="127" t="str">
        <x:v>规则：120 日动量、Top 1｜验证期 2024-01-02 至 2026-09-17｜初始资金 100 万元</x:v>
      </x:c>
      <x:c r="B2" s="127"/>
      <x:c r="C2" s="127"/>
      <x:c r="D2" s="127"/>
      <x:c r="E2" s="127"/>
      <x:c r="F2" s="127"/>
      <x:c r="G2" s="127"/>
      <x:c r="H2" s="127"/>
      <x:c r="I2" s="32"/>
      <x:c r="J2" s="32"/>
      <x:c r="K2" s="32"/>
      <x:c r="L2" s="32"/>
      <x:c r="M2" s="32"/>
      <x:c r="N2" s="32"/>
    </x:row>
    <x:row r="3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</x:row>
    <x:row r="4">
      <x:c r="A4" s="128" t="str">
        <x:v>结论</x:v>
      </x:c>
      <x:c r="B4" s="128"/>
      <x:c r="C4" s="128"/>
      <x:c r="D4" s="128"/>
      <x:c r="E4" s="128"/>
      <x:c r="F4" s="128"/>
      <x:c r="G4" s="128"/>
      <x:c r="H4" s="128"/>
      <x:c r="I4" s="32"/>
      <x:c r="J4" s="32"/>
      <x:c r="K4" s="32"/>
      <x:c r="L4" s="32"/>
      <x:c r="M4" s="32"/>
      <x:c r="N4" s="32"/>
    </x:row>
    <x:row r="5" ht="34" customHeight="1">
      <x:c r="A5" s="110" t="str">
        <x:v>验证期净亏损 22.50 万元。创业板50ETF贡献 -35.09 万元，黄金ETF贡献 -11.24 万元，纳斯达克100ETF贡献 +24.56 万元。累计费用仅 0.73 万元，主要问题是 Top 1 集中持仓和动量切换滞后，而不是交易成本。最大回撤 -43.99%，截至样本结束仍未恢复。</x:v>
      </x:c>
      <x:c r="B5" s="110"/>
      <x:c r="C5" s="110"/>
      <x:c r="D5" s="110"/>
      <x:c r="E5" s="110"/>
      <x:c r="F5" s="110"/>
      <x:c r="G5" s="110"/>
      <x:c r="H5" s="110"/>
      <x:c r="I5" s="32"/>
      <x:c r="J5" s="32"/>
      <x:c r="K5" s="32"/>
      <x:c r="L5" s="32"/>
      <x:c r="M5" s="32"/>
      <x:c r="N5" s="32"/>
    </x:row>
    <x:row r="6" ht="34" customHeight="1">
      <x:c r="A6" s="110"/>
      <x:c r="B6" s="110"/>
      <x:c r="C6" s="110"/>
      <x:c r="D6" s="110"/>
      <x:c r="E6" s="110"/>
      <x:c r="F6" s="110"/>
      <x:c r="G6" s="110"/>
      <x:c r="H6" s="110"/>
      <x:c r="I6" s="32"/>
      <x:c r="J6" s="32"/>
      <x:c r="K6" s="32"/>
      <x:c r="L6" s="32"/>
      <x:c r="M6" s="32"/>
      <x:c r="N6" s="32"/>
    </x:row>
    <x:row r="7">
      <x:c r="A7" s="32"/>
      <x:c r="B7" s="32"/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</x:row>
    <x:row r="8">
      <x:c r="A8" s="129" t="str">
        <x:v>年份</x:v>
      </x:c>
      <x:c r="B8" s="129" t="str">
        <x:v>选中动量</x:v>
      </x:c>
      <x:c r="C8" s="129" t="str">
        <x:v>7 ETF 等权</x:v>
      </x:c>
      <x:c r="D8" s="129" t="str">
        <x:v>沪深300</x:v>
      </x:c>
      <x:c r="E8" s="32"/>
      <x:c r="F8" s="32"/>
      <x:c r="G8" s="32"/>
      <x:c r="H8" s="32"/>
      <x:c r="I8" s="32"/>
      <x:c r="J8" s="32"/>
      <x:c r="K8" s="32"/>
      <x:c r="L8" s="32"/>
      <x:c r="M8" s="32"/>
      <x:c r="N8" s="32"/>
    </x:row>
    <x:row r="9">
      <x:c r="A9" s="40" t="n">
        <x:v>2024</x:v>
      </x:c>
      <x:c r="B9" s="41" t="n">
        <x:v>-0.01141935631559532</x:v>
      </x:c>
      <x:c r="C9" s="41" t="n">
        <x:v>0.19648857871864478</x:v>
      </x:c>
      <x:c r="D9" s="41" t="n">
        <x:v>0.18221460343695406</x:v>
      </x:c>
      <x:c r="E9" s="32"/>
      <x:c r="F9" s="32"/>
      <x:c r="G9" s="32"/>
      <x:c r="H9" s="32"/>
      <x:c r="I9" s="32"/>
      <x:c r="J9" s="32"/>
      <x:c r="K9" s="32"/>
      <x:c r="L9" s="32"/>
      <x:c r="M9" s="32"/>
      <x:c r="N9" s="32"/>
    </x:row>
    <x:row r="10">
      <x:c r="A10" s="40" t="n">
        <x:v>2025</x:v>
      </x:c>
      <x:c r="B10" s="41" t="n">
        <x:v>0.003020864643255683</x:v>
      </x:c>
      <x:c r="C10" s="41" t="n">
        <x:v>0.2723061956530537</x:v>
      </x:c>
      <x:c r="D10" s="41" t="n">
        <x:v>0.21490422461296155</x:v>
      </x:c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</x:row>
    <x:row r="11">
      <x:c r="A11" s="40" t="n">
        <x:v>2026</x:v>
      </x:c>
      <x:c r="B11" s="41" t="n">
        <x:v>-0.21840661118768168</x:v>
      </x:c>
      <x:c r="C11" s="41" t="n">
        <x:v>0.03400125742620763</x:v>
      </x:c>
      <x:c r="D11" s="41" t="n">
        <x:v>-0.02116630669546493</x:v>
      </x:c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</x:row>
    <x:row r="14">
      <x:c r="A14" s="130" t="str">
        <x:v>资产</x:v>
      </x:c>
      <x:c r="B14" s="130" t="str">
        <x:v>累计损益（元）</x:v>
      </x:c>
      <x:c r="C14" s="130" t="str">
        <x:v>初始资金贡献</x:v>
      </x:c>
      <x:c r="D14" s="130" t="str">
        <x:v>平均权重</x:v>
      </x:c>
      <x:c r="E14" s="130" t="str">
        <x:v>实际持有日</x:v>
      </x:c>
      <x:c r="F14" s="32"/>
      <x:c r="G14" s="130" t="str">
        <x:v>最差月份</x:v>
      </x:c>
      <x:c r="H14" s="130" t="str">
        <x:v>策略收益</x:v>
      </x:c>
      <x:c r="I14" s="130" t="str">
        <x:v>等权收益</x:v>
      </x:c>
      <x:c r="J14" s="130" t="str">
        <x:v>沪深300</x:v>
      </x:c>
      <x:c r="K14" s="130" t="str">
        <x:v>相对等权</x:v>
      </x:c>
      <x:c r="L14" s="32"/>
      <x:c r="M14" s="32"/>
      <x:c r="N14" s="32"/>
    </x:row>
    <x:row r="15">
      <x:c r="A15" s="40" t="str">
        <x:v>创业板50ETF</x:v>
      </x:c>
      <x:c r="B15" s="131" t="n">
        <x:v>-350935.0615318087</x:v>
      </x:c>
      <x:c r="C15" s="41" t="n">
        <x:v>-0.3509350615318087</x:v>
      </x:c>
      <x:c r="D15" s="41" t="n">
        <x:v>0.4817629179331308</x:v>
      </x:c>
      <x:c r="E15" s="40" t="n">
        <x:v>317</x:v>
      </x:c>
      <x:c r="F15" s="32"/>
      <x:c r="G15" s="132" t="str">
        <x:v>2026-07</x:v>
      </x:c>
      <x:c r="H15" s="133" t="n">
        <x:v>-0.24185823754789304</x:v>
      </x:c>
      <x:c r="I15" s="133" t="n">
        <x:v>-0.0814620581474712</x:v>
      </x:c>
      <x:c r="J15" s="133" t="n">
        <x:v>-0.0729228930065754</x:v>
      </x:c>
      <x:c r="K15" s="133" t="n">
        <x:v>-0.16039617940042183</x:v>
      </x:c>
      <x:c r="L15" s="32"/>
      <x:c r="M15" s="32"/>
      <x:c r="N15" s="32"/>
    </x:row>
    <x:row r="16">
      <x:c r="A16" s="40" t="str">
        <x:v>黄金ETF</x:v>
      </x:c>
      <x:c r="B16" s="131" t="n">
        <x:v>-112398.63408234723</x:v>
      </x:c>
      <x:c r="C16" s="41" t="n">
        <x:v>-0.11239863408234722</x:v>
      </x:c>
      <x:c r="D16" s="41" t="n">
        <x:v>0.2537993920972645</x:v>
      </x:c>
      <x:c r="E16" s="40" t="n">
        <x:v>167</x:v>
      </x:c>
      <x:c r="F16" s="32"/>
      <x:c r="G16" s="40" t="str">
        <x:v>2024-10</x:v>
      </x:c>
      <x:c r="H16" s="41" t="n">
        <x:v>-0.20742159979481056</x:v>
      </x:c>
      <x:c r="I16" s="41" t="n">
        <x:v>-0.01273227392847065</x:v>
      </x:c>
      <x:c r="J16" s="41" t="n">
        <x:v>-0.06514172053704625</x:v>
      </x:c>
      <x:c r="K16" s="41" t="n">
        <x:v>-0.1946893258663399</x:v>
      </x:c>
      <x:c r="L16" s="32"/>
      <x:c r="M16" s="32"/>
      <x:c r="N16" s="32"/>
    </x:row>
    <x:row r="17">
      <x:c r="A17" s="40" t="str">
        <x:v>中证500ETF</x:v>
      </x:c>
      <x:c r="B17" s="131" t="n">
        <x:v>0</x:v>
      </x:c>
      <x:c r="C17" s="41" t="n">
        <x:v>0</x:v>
      </x:c>
      <x:c r="D17" s="41" t="n">
        <x:v>0</x:v>
      </x:c>
      <x:c r="E17" s="40" t="n">
        <x:v>0</x:v>
      </x:c>
      <x:c r="F17" s="32"/>
      <x:c r="G17" s="40" t="str">
        <x:v>2026-03</x:v>
      </x:c>
      <x:c r="H17" s="41" t="n">
        <x:v>-0.15757921358045135</x:v>
      </x:c>
      <x:c r="I17" s="41" t="n">
        <x:v>-0.06349505546717826</x:v>
      </x:c>
      <x:c r="J17" s="41" t="n">
        <x:v>-0.055449735449735416</x:v>
      </x:c>
      <x:c r="K17" s="41" t="n">
        <x:v>-0.09408415811327309</x:v>
      </x:c>
      <x:c r="L17" s="32"/>
      <x:c r="M17" s="32"/>
      <x:c r="N17" s="32"/>
    </x:row>
    <x:row r="18">
      <x:c r="A18" s="40" t="str">
        <x:v>国债ETF</x:v>
      </x:c>
      <x:c r="B18" s="131" t="n">
        <x:v>0</x:v>
      </x:c>
      <x:c r="C18" s="41" t="n">
        <x:v>0</x:v>
      </x:c>
      <x:c r="D18" s="41" t="n">
        <x:v>0</x:v>
      </x:c>
      <x:c r="E18" s="40" t="n">
        <x:v>0</x:v>
      </x:c>
      <x:c r="F18" s="32"/>
      <x:c r="G18" s="40" t="str">
        <x:v>2025-04</x:v>
      </x:c>
      <x:c r="H18" s="41" t="n">
        <x:v>-0.07874865156418565</x:v>
      </x:c>
      <x:c r="I18" s="41" t="n">
        <x:v>-0.0061657636279046635</x:v>
      </x:c>
      <x:c r="J18" s="41" t="n">
        <x:v>-0.03127484760137755</x:v>
      </x:c>
      <x:c r="K18" s="41" t="n">
        <x:v>-0.07258288793628098</x:v>
      </x:c>
      <x:c r="L18" s="32"/>
      <x:c r="M18" s="32"/>
      <x:c r="N18" s="32"/>
    </x:row>
    <x:row r="19">
      <x:c r="A19" s="40" t="str">
        <x:v>沪深300ETF</x:v>
      </x:c>
      <x:c r="B19" s="131" t="n">
        <x:v>0</x:v>
      </x:c>
      <x:c r="C19" s="41" t="n">
        <x:v>0</x:v>
      </x:c>
      <x:c r="D19" s="41" t="n">
        <x:v>0</x:v>
      </x:c>
      <x:c r="E19" s="40" t="n">
        <x:v>0</x:v>
      </x:c>
      <x:c r="F19" s="32"/>
      <x:c r="G19" s="40" t="str">
        <x:v>2025-11</x:v>
      </x:c>
      <x:c r="H19" s="41" t="n">
        <x:v>-0.04296100462656971</x:v>
      </x:c>
      <x:c r="I19" s="41" t="n">
        <x:v>-0.014853253152571244</x:v>
      </x:c>
      <x:c r="J19" s="41" t="n">
        <x:v>-0.026116986833584543</x:v>
      </x:c>
      <x:c r="K19" s="41" t="n">
        <x:v>-0.028107751473998466</x:v>
      </x:c>
      <x:c r="L19" s="32"/>
      <x:c r="M19" s="32"/>
      <x:c r="N19" s="32"/>
    </x:row>
    <x:row r="20">
      <x:c r="A20" s="40" t="str">
        <x:v>红利ETF</x:v>
      </x:c>
      <x:c r="B20" s="131" t="n">
        <x:v>0</x:v>
      </x:c>
      <x:c r="C20" s="41" t="n">
        <x:v>0</x:v>
      </x:c>
      <x:c r="D20" s="41" t="n">
        <x:v>0</x:v>
      </x:c>
      <x:c r="E20" s="40" t="n">
        <x:v>0</x:v>
      </x:c>
      <x:c r="F20" s="32"/>
      <x:c r="G20" s="32"/>
      <x:c r="H20" s="32"/>
      <x:c r="I20" s="32"/>
      <x:c r="J20" s="32"/>
      <x:c r="K20" s="32"/>
      <x:c r="L20" s="32"/>
      <x:c r="M20" s="32"/>
      <x:c r="N20" s="32"/>
    </x:row>
    <x:row r="21">
      <x:c r="A21" s="40" t="str">
        <x:v>纳斯达克100ETF</x:v>
      </x:c>
      <x:c r="B21" s="131" t="n">
        <x:v>245641.92634238472</x:v>
      </x:c>
      <x:c r="C21" s="41" t="n">
        <x:v>0.24564192634238471</x:v>
      </x:c>
      <x:c r="D21" s="41" t="n">
        <x:v>0.2644376899696049</x:v>
      </x:c>
      <x:c r="E21" s="40" t="n">
        <x:v>174</x:v>
      </x:c>
      <x:c r="F21" s="32"/>
      <x:c r="G21" s="32"/>
      <x:c r="H21" s="32"/>
      <x:c r="I21" s="32"/>
      <x:c r="J21" s="32"/>
      <x:c r="K21" s="32"/>
      <x:c r="L21" s="32"/>
      <x:c r="M21" s="32"/>
      <x:c r="N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  <x:c r="N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  <x:c r="N23" s="32"/>
    </x:row>
    <x:row r="24">
      <x:c r="A24" s="129" t="str">
        <x:v>资产</x:v>
      </x:c>
      <x:c r="B24" s="129" t="str">
        <x:v>交易笔数</x:v>
      </x:c>
      <x:c r="C24" s="129" t="str">
        <x:v>买入金额</x:v>
      </x:c>
      <x:c r="D24" s="129" t="str">
        <x:v>卖出金额</x:v>
      </x:c>
      <x:c r="E24" s="129" t="str">
        <x:v>费用</x:v>
      </x:c>
      <x:c r="F24" s="32"/>
      <x:c r="G24" s="32"/>
      <x:c r="H24" s="32"/>
      <x:c r="I24" s="32"/>
      <x:c r="J24" s="32"/>
      <x:c r="K24" s="32"/>
      <x:c r="L24" s="32"/>
      <x:c r="M24" s="32"/>
      <x:c r="N24" s="32"/>
    </x:row>
    <x:row r="25">
      <x:c r="A25" s="40" t="str">
        <x:v>创业板50ETF</x:v>
      </x:c>
      <x:c r="B25" s="40" t="n">
        <x:v>6</x:v>
      </x:c>
      <x:c r="C25" s="134" t="n">
        <x:v>2974567.4656714913</x:v>
      </x:c>
      <x:c r="D25" s="134" t="n">
        <x:v>2623632.4041396827</x:v>
      </x:c>
      <x:c r="E25" s="134" t="n">
        <x:v>2799.0999349055874</x:v>
      </x:c>
      <x:c r="F25" s="32"/>
      <x:c r="G25" s="32"/>
      <x:c r="H25" s="32"/>
      <x:c r="I25" s="32"/>
      <x:c r="J25" s="32"/>
      <x:c r="K25" s="32"/>
      <x:c r="L25" s="32"/>
      <x:c r="M25" s="32"/>
      <x:c r="N25" s="32"/>
    </x:row>
    <x:row r="26">
      <x:c r="A26" s="40" t="str">
        <x:v>纳斯达克100ETF</x:v>
      </x:c>
      <x:c r="B26" s="40" t="n">
        <x:v>3</x:v>
      </x:c>
      <x:c r="C26" s="134" t="n">
        <x:v>1737846.960557605</x:v>
      </x:c>
      <x:c r="D26" s="134" t="n">
        <x:v>1208486.6657580303</x:v>
      </x:c>
      <x:c r="E26" s="134" t="n">
        <x:v>1473.1668131578176</x:v>
      </x:c>
      <x:c r="F26" s="32"/>
      <x:c r="G26" s="32"/>
      <x:c r="H26" s="32"/>
      <x:c r="I26" s="32"/>
      <x:c r="J26" s="32"/>
      <x:c r="K26" s="32"/>
      <x:c r="L26" s="32"/>
      <x:c r="M26" s="32"/>
      <x:c r="N26" s="32"/>
    </x:row>
    <x:row r="27">
      <x:c r="A27" s="40" t="str">
        <x:v>黄金ETF</x:v>
      </x:c>
      <x:c r="B27" s="40" t="n">
        <x:v>6</x:v>
      </x:c>
      <x:c r="C27" s="134" t="n">
        <x:v>3089942.155247257</x:v>
      </x:c>
      <x:c r="D27" s="134" t="n">
        <x:v>2977543.52116491</x:v>
      </x:c>
      <x:c r="E27" s="134" t="n">
        <x:v>3033.7428382060834</x:v>
      </x:c>
      <x:c r="F27" s="32"/>
      <x:c r="G27" s="32"/>
      <x:c r="H27" s="32"/>
      <x:c r="I27" s="32"/>
      <x:c r="J27" s="32"/>
      <x:c r="K27" s="32"/>
      <x:c r="L27" s="32"/>
      <x:c r="M27" s="32"/>
      <x:c r="N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  <x:c r="N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  <x:c r="N29" s="32"/>
    </x:row>
    <x:row r="30">
      <x:c r="A30" s="129" t="str">
        <x:v>对账项目</x:v>
      </x:c>
      <x:c r="B30" s="129" t="str">
        <x:v>计算结果（元）</x:v>
      </x:c>
      <x:c r="C30" s="129" t="str">
        <x:v>说明</x:v>
      </x:c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  <x:c r="N30" s="32"/>
    </x:row>
    <x:row r="31">
      <x:c r="A31" s="40" t="str">
        <x:v>资产损益</x:v>
      </x:c>
      <x:c r="B31" s="135" t="n">
        <x:v>-217691.7692717712</x:v>
      </x:c>
      <x:c r="C31" s="40" t="str">
        <x:v>每日资产损益累计</x:v>
      </x:c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  <x:c r="N31" s="32"/>
    </x:row>
    <x:row r="32">
      <x:c r="A32" s="40" t="str">
        <x:v>交易费用</x:v>
      </x:c>
      <x:c r="B32" s="135" t="n">
        <x:v>7306.009586269488</x:v>
      </x:c>
      <x:c r="C32" s="40" t="str">
        <x:v>所有买卖费用累计</x:v>
      </x:c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</x:row>
    <x:row r="33">
      <x:c r="A33" s="40" t="str">
        <x:v>组合净损益</x:v>
      </x:c>
      <x:c r="B33" s="135" t="n">
        <x:f>B31-B32</x:f>
        <x:v>-224997.7788580407</x:v>
      </x:c>
      <x:c r="C33" s="40" t="str">
        <x:v>资产损益减费用</x:v>
      </x:c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  <x:c r="N33" s="32"/>
    </x:row>
    <x:row r="34">
      <x:c r="A34" s="40" t="str">
        <x:v>期末净值</x:v>
      </x:c>
      <x:c r="B34" s="135" t="n">
        <x:v>775002.2211419593</x:v>
      </x:c>
      <x:c r="C34" s="40" t="str">
        <x:v>初始资金加组合净损益</x:v>
      </x:c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  <x:c r="N34" s="32"/>
    </x:row>
    <x:row r="35">
      <x:c r="A35" s="136" t="str">
        <x:v>对账差额</x:v>
      </x:c>
      <x:c r="B35" s="137" t="n">
        <x:f>B31-B32-B33</x:f>
        <x:v>0</x:v>
      </x:c>
      <x:c r="C35" s="136" t="str">
        <x:v>应为 0</x:v>
      </x:c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  <x:c r="L36" s="32"/>
      <x:c r="M36" s="32"/>
      <x:c r="N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</x:row>
    <x:row r="38" ht="34" customHeight="1">
      <x:c r="A38" s="138" t="str">
        <x:v>解释：Top 1 规则把全部资金集中在一个标的。2024 年和 2025 年策略接近持平，但显著落后等权组合；2026 年截至 9 月再亏损 21.84%。2024 年 10 月和 2026 年 7 月的单月大跌构成主要回撤。</x:v>
      </x:c>
      <x:c r="B38" s="138"/>
      <x:c r="C38" s="138"/>
      <x:c r="D38" s="138"/>
      <x:c r="E38" s="138"/>
      <x:c r="F38" s="138"/>
      <x:c r="G38" s="138"/>
      <x:c r="H38" s="138"/>
      <x:c r="I38" s="32"/>
      <x:c r="J38" s="32"/>
      <x:c r="K38" s="32"/>
      <x:c r="L38" s="32"/>
      <x:c r="M38" s="32"/>
      <x:c r="N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</x:row>
    <x:row r="40">
      <x:c r="A40" s="100" t="str">
        <x:v>数据来源：同一东方财富前复权快照，SHA256 5e48ba89586b8c5d3c616c5f32fb47370955af885f0673034d0d641ca0a7f951。资产损益减交易费用与组合净损益严格对账。</x:v>
      </x:c>
      <x:c r="B40" s="100"/>
      <x:c r="C40" s="100"/>
      <x:c r="D40" s="100"/>
      <x:c r="E40" s="100"/>
      <x:c r="F40" s="100"/>
      <x:c r="G40" s="100"/>
      <x:c r="H40" s="100"/>
      <x:c r="I40" s="32"/>
      <x:c r="J40" s="32"/>
      <x:c r="K40" s="32"/>
      <x:c r="L40" s="32"/>
      <x:c r="M40" s="32"/>
      <x:c r="N40" s="32"/>
    </x:row>
  </x:sheetData>
  <x:mergeCells>
    <x:mergeCell ref="A1:H1"/>
    <x:mergeCell ref="A2:H2"/>
    <x:mergeCell ref="A4:H4"/>
    <x:mergeCell ref="A5:H6"/>
    <x:mergeCell ref="A38:H38"/>
    <x:mergeCell ref="A40:H40"/>
  </x:mergeCells>
  <x:conditionalFormatting sqref="B15:B21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drawing xmlns:r="http://schemas.openxmlformats.org/officeDocument/2006/relationships" r:id="Rc3d7ea75e6a2488e"/>
</x:worksheet>
</file>